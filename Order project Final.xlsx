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hidePivotFieldList="1" defaultThemeVersion="166925"/>
  <mc:AlternateContent xmlns:mc="http://schemas.openxmlformats.org/markup-compatibility/2006">
    <mc:Choice Requires="x15">
      <x15ac:absPath xmlns:x15ac="http://schemas.microsoft.com/office/spreadsheetml/2010/11/ac" url="C:\Users\user\Desktop\Excel basics\"/>
    </mc:Choice>
  </mc:AlternateContent>
  <xr:revisionPtr revIDLastSave="0" documentId="8_{C716B82A-B700-4796-9C15-26407E434C04}" xr6:coauthVersionLast="47" xr6:coauthVersionMax="47" xr10:uidLastSave="{00000000-0000-0000-0000-000000000000}"/>
  <bookViews>
    <workbookView xWindow="-108" yWindow="-108" windowWidth="23256" windowHeight="12456" tabRatio="640" xr2:uid="{AC3D9971-87E5-4802-8C05-F7A646114B98}"/>
  </bookViews>
  <sheets>
    <sheet name="order dashboard" sheetId="14" r:id="rId1"/>
    <sheet name="Orders" sheetId="19" r:id="rId2"/>
    <sheet name="Pivot Orders" sheetId="13" r:id="rId3"/>
    <sheet name="Dashboard Questions" sheetId="8" r:id="rId4"/>
  </sheets>
  <definedNames>
    <definedName name="_xlcn.WorksheetConnection_DataModellingClassWorkbook.xlsxTable11" hidden="1">Table1</definedName>
    <definedName name="_xlcn.WorksheetConnection_DataModellingClassWorkbook.xlsxTable21" hidden="1">Table2</definedName>
    <definedName name="_xlcn.WorksheetConnection_DataModellingClassWorkbook.xlsxTable31" hidden="1">Table3[]</definedName>
    <definedName name="_xlcn.WorksheetConnection_DataModellingClassWorkbook.xlsxTable41" hidden="1">Table4</definedName>
    <definedName name="Slicer_Order_Type">#N/A</definedName>
  </definedNames>
  <calcPr calcId="191029"/>
  <pivotCaches>
    <pivotCache cacheId="1" r:id="rId5"/>
  </pivotCaches>
  <fileRecoveryPr repairLoad="1"/>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Data Modelling - Class Workbook.xlsx!Table4"/>
          <x15:modelTable id="Table3" name="Table3" connection="WorksheetConnection_Data Modelling - Class Workbook.xlsx!Table3"/>
          <x15:modelTable id="Table2" name="Table2" connection="WorksheetConnection_Data Modelling - Class Workbook.xlsx!Table2"/>
          <x15:modelTable id="Table1" name="Table1" connection="WorksheetConnection_Data Modelling - Class Workbook.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95" i="19" l="1"/>
  <c r="I794" i="19"/>
  <c r="I793" i="19"/>
  <c r="I792" i="19"/>
  <c r="I791" i="19"/>
  <c r="I790" i="19"/>
  <c r="I789" i="19"/>
  <c r="I788" i="19"/>
  <c r="I787" i="19"/>
  <c r="I786" i="19"/>
  <c r="I785" i="19"/>
  <c r="I784" i="19"/>
  <c r="I783" i="19"/>
  <c r="I782" i="19"/>
  <c r="I781" i="19"/>
  <c r="I780" i="19"/>
  <c r="I779" i="19"/>
  <c r="I778" i="19"/>
  <c r="I777" i="19"/>
  <c r="I776" i="19"/>
  <c r="I775" i="19"/>
  <c r="I774" i="19"/>
  <c r="I773" i="19"/>
  <c r="I772" i="19"/>
  <c r="I771" i="19"/>
  <c r="I770" i="19"/>
  <c r="I769" i="19"/>
  <c r="I768" i="19"/>
  <c r="I767" i="19"/>
  <c r="I766" i="19"/>
  <c r="I765" i="19"/>
  <c r="I764" i="19"/>
  <c r="I763" i="19"/>
  <c r="I762" i="19"/>
  <c r="I761" i="19"/>
  <c r="I760" i="19"/>
  <c r="I759" i="19"/>
  <c r="I758" i="19"/>
  <c r="I757" i="19"/>
  <c r="I756" i="19"/>
  <c r="I755" i="19"/>
  <c r="I754" i="19"/>
  <c r="I753" i="19"/>
  <c r="I752" i="19"/>
  <c r="I751" i="19"/>
  <c r="I750" i="19"/>
  <c r="I749" i="19"/>
  <c r="I748" i="19"/>
  <c r="I747" i="19"/>
  <c r="I746" i="19"/>
  <c r="I745" i="19"/>
  <c r="I744" i="19"/>
  <c r="I743" i="19"/>
  <c r="I742" i="19"/>
  <c r="I741" i="19"/>
  <c r="I740" i="19"/>
  <c r="I739" i="19"/>
  <c r="I738" i="19"/>
  <c r="I737" i="19"/>
  <c r="I736" i="19"/>
  <c r="I735" i="19"/>
  <c r="I734" i="19"/>
  <c r="I733" i="19"/>
  <c r="I732" i="19"/>
  <c r="I731" i="19"/>
  <c r="I730" i="19"/>
  <c r="I729" i="19"/>
  <c r="I728" i="19"/>
  <c r="I727" i="19"/>
  <c r="I726" i="19"/>
  <c r="I725" i="19"/>
  <c r="I724" i="19"/>
  <c r="I723" i="19"/>
  <c r="I722" i="19"/>
  <c r="I721" i="19"/>
  <c r="I720" i="19"/>
  <c r="I719" i="19"/>
  <c r="I718" i="19"/>
  <c r="I717" i="19"/>
  <c r="I716" i="19"/>
  <c r="I715" i="19"/>
  <c r="I714" i="19"/>
  <c r="I713" i="19"/>
  <c r="I712" i="19"/>
  <c r="I711" i="19"/>
  <c r="I710" i="19"/>
  <c r="I709" i="19"/>
  <c r="I708" i="19"/>
  <c r="I707" i="19"/>
  <c r="I706" i="19"/>
  <c r="I705" i="19"/>
  <c r="I704" i="19"/>
  <c r="I703" i="19"/>
  <c r="I702" i="19"/>
  <c r="I701" i="19"/>
  <c r="I700" i="19"/>
  <c r="I699" i="19"/>
  <c r="I698" i="19"/>
  <c r="I697" i="19"/>
  <c r="I696" i="19"/>
  <c r="I695" i="19"/>
  <c r="I694" i="19"/>
  <c r="I693" i="19"/>
  <c r="I692" i="19"/>
  <c r="I691" i="19"/>
  <c r="I690" i="19"/>
  <c r="I689" i="19"/>
  <c r="I688" i="19"/>
  <c r="I687" i="19"/>
  <c r="I686" i="19"/>
  <c r="I685" i="19"/>
  <c r="I684" i="19"/>
  <c r="I683" i="19"/>
  <c r="I682" i="19"/>
  <c r="I681" i="19"/>
  <c r="I680" i="19"/>
  <c r="I679" i="19"/>
  <c r="I678" i="19"/>
  <c r="I677" i="19"/>
  <c r="I676" i="19"/>
  <c r="I675" i="19"/>
  <c r="I674" i="19"/>
  <c r="I673" i="19"/>
  <c r="I672" i="19"/>
  <c r="I671" i="19"/>
  <c r="I670" i="19"/>
  <c r="I669" i="19"/>
  <c r="I668" i="19"/>
  <c r="I667" i="19"/>
  <c r="I666" i="19"/>
  <c r="I665" i="19"/>
  <c r="I664" i="19"/>
  <c r="I663" i="19"/>
  <c r="I662" i="19"/>
  <c r="I661" i="19"/>
  <c r="I660" i="19"/>
  <c r="I659" i="19"/>
  <c r="I658" i="19"/>
  <c r="I657" i="19"/>
  <c r="I656" i="19"/>
  <c r="I655" i="19"/>
  <c r="I654" i="19"/>
  <c r="I653" i="19"/>
  <c r="I652" i="19"/>
  <c r="I651" i="19"/>
  <c r="I650" i="19"/>
  <c r="I649" i="19"/>
  <c r="I648" i="19"/>
  <c r="I647" i="19"/>
  <c r="I646" i="19"/>
  <c r="I645" i="19"/>
  <c r="I644" i="19"/>
  <c r="I643" i="19"/>
  <c r="I642" i="19"/>
  <c r="I641" i="19"/>
  <c r="I640" i="19"/>
  <c r="I639" i="19"/>
  <c r="I638" i="19"/>
  <c r="I637" i="19"/>
  <c r="I636" i="19"/>
  <c r="I635" i="19"/>
  <c r="I634" i="19"/>
  <c r="I633" i="19"/>
  <c r="I632" i="19"/>
  <c r="I631" i="19"/>
  <c r="I630" i="19"/>
  <c r="I629" i="19"/>
  <c r="I628" i="19"/>
  <c r="I627" i="19"/>
  <c r="I626" i="19"/>
  <c r="I625" i="19"/>
  <c r="I624" i="19"/>
  <c r="I623" i="19"/>
  <c r="I622" i="19"/>
  <c r="I621" i="19"/>
  <c r="I620" i="19"/>
  <c r="I619" i="19"/>
  <c r="I618" i="19"/>
  <c r="I617" i="19"/>
  <c r="I616" i="19"/>
  <c r="I615" i="19"/>
  <c r="I614" i="19"/>
  <c r="I613" i="19"/>
  <c r="I612" i="19"/>
  <c r="I611" i="19"/>
  <c r="I610" i="19"/>
  <c r="I609" i="19"/>
  <c r="I608" i="19"/>
  <c r="I607" i="19"/>
  <c r="I606" i="19"/>
  <c r="I605" i="19"/>
  <c r="I604" i="19"/>
  <c r="I603" i="19"/>
  <c r="I602" i="19"/>
  <c r="I601" i="19"/>
  <c r="I600" i="19"/>
  <c r="I599" i="19"/>
  <c r="I598" i="19"/>
  <c r="I597" i="19"/>
  <c r="I596" i="19"/>
  <c r="I595" i="19"/>
  <c r="I594" i="19"/>
  <c r="I593" i="19"/>
  <c r="I592" i="19"/>
  <c r="I591" i="19"/>
  <c r="I590" i="19"/>
  <c r="I589" i="19"/>
  <c r="I588" i="19"/>
  <c r="I587" i="19"/>
  <c r="I586" i="19"/>
  <c r="I585" i="19"/>
  <c r="I584" i="19"/>
  <c r="I583" i="19"/>
  <c r="I582" i="19"/>
  <c r="I581" i="19"/>
  <c r="I580" i="19"/>
  <c r="I579" i="19"/>
  <c r="I578" i="19"/>
  <c r="I577" i="19"/>
  <c r="I576" i="19"/>
  <c r="I575" i="19"/>
  <c r="I574" i="19"/>
  <c r="I573" i="19"/>
  <c r="I572" i="19"/>
  <c r="I571" i="19"/>
  <c r="I570" i="19"/>
  <c r="I569" i="19"/>
  <c r="I568" i="19"/>
  <c r="I567" i="19"/>
  <c r="I566" i="19"/>
  <c r="I565" i="19"/>
  <c r="I564" i="19"/>
  <c r="I563" i="19"/>
  <c r="I562" i="19"/>
  <c r="I561" i="19"/>
  <c r="I560" i="19"/>
  <c r="I559" i="19"/>
  <c r="I558" i="19"/>
  <c r="I557" i="19"/>
  <c r="I556" i="19"/>
  <c r="I555" i="19"/>
  <c r="I554" i="19"/>
  <c r="I553" i="19"/>
  <c r="I552" i="19"/>
  <c r="I551" i="19"/>
  <c r="I550" i="19"/>
  <c r="I549" i="19"/>
  <c r="I548" i="19"/>
  <c r="I547" i="19"/>
  <c r="I546" i="19"/>
  <c r="I545" i="19"/>
  <c r="I544" i="19"/>
  <c r="I543" i="19"/>
  <c r="I542" i="19"/>
  <c r="I541" i="19"/>
  <c r="I540" i="19"/>
  <c r="I539" i="19"/>
  <c r="I538" i="19"/>
  <c r="I537" i="19"/>
  <c r="I536" i="19"/>
  <c r="I535" i="19"/>
  <c r="I534" i="19"/>
  <c r="I533" i="19"/>
  <c r="I532" i="19"/>
  <c r="I531" i="19"/>
  <c r="I530" i="19"/>
  <c r="I529" i="19"/>
  <c r="I528" i="19"/>
  <c r="I527" i="19"/>
  <c r="I526" i="19"/>
  <c r="I525" i="19"/>
  <c r="I524" i="19"/>
  <c r="I523" i="19"/>
  <c r="I522" i="19"/>
  <c r="I521" i="19"/>
  <c r="I520" i="19"/>
  <c r="I519" i="19"/>
  <c r="I518" i="19"/>
  <c r="I517" i="19"/>
  <c r="I516" i="19"/>
  <c r="I515" i="19"/>
  <c r="I514" i="19"/>
  <c r="I513" i="19"/>
  <c r="I512" i="19"/>
  <c r="I511" i="19"/>
  <c r="I510" i="19"/>
  <c r="I509" i="19"/>
  <c r="I508" i="19"/>
  <c r="I507" i="19"/>
  <c r="I506" i="19"/>
  <c r="I505" i="19"/>
  <c r="I504" i="19"/>
  <c r="I503" i="19"/>
  <c r="I502" i="19"/>
  <c r="I501" i="19"/>
  <c r="C4" i="13"/>
  <c r="C7" i="13"/>
  <c r="C13" i="13"/>
  <c r="C10" i="13"/>
  <c r="E7" i="13"/>
  <c r="G7" i="13"/>
  <c r="H7" i="13"/>
  <c r="F7"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39497E-D68B-414F-8798-9DD61807049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B9F8E615-B3BA-4E80-93A3-98FFD1E9C90B}" name="WorksheetConnection_Data Modelling - Class Workbook.xlsx!Table1" type="102" refreshedVersion="8" minRefreshableVersion="5">
    <extLst>
      <ext xmlns:x15="http://schemas.microsoft.com/office/spreadsheetml/2010/11/main" uri="{DE250136-89BD-433C-8126-D09CA5730AF9}">
        <x15:connection id="Table1">
          <x15:rangePr sourceName="_xlcn.WorksheetConnection_DataModellingClassWorkbook.xlsxTable11"/>
        </x15:connection>
      </ext>
    </extLst>
  </connection>
  <connection id="3" xr16:uid="{586A7FB4-47D2-4E30-9627-B598CE2D9C88}" name="WorksheetConnection_Data Modelling - Class Workbook.xlsx!Table2" type="102" refreshedVersion="8" minRefreshableVersion="5">
    <extLst>
      <ext xmlns:x15="http://schemas.microsoft.com/office/spreadsheetml/2010/11/main" uri="{DE250136-89BD-433C-8126-D09CA5730AF9}">
        <x15:connection id="Table2">
          <x15:rangePr sourceName="_xlcn.WorksheetConnection_DataModellingClassWorkbook.xlsxTable21"/>
        </x15:connection>
      </ext>
    </extLst>
  </connection>
  <connection id="4" xr16:uid="{6E9E0FE1-A387-4597-BAAA-901B5C121C45}" name="WorksheetConnection_Data Modelling - Class Workbook.xlsx!Table3" type="102" refreshedVersion="8" minRefreshableVersion="5">
    <extLst>
      <ext xmlns:x15="http://schemas.microsoft.com/office/spreadsheetml/2010/11/main" uri="{DE250136-89BD-433C-8126-D09CA5730AF9}">
        <x15:connection id="Table3">
          <x15:rangePr sourceName="_xlcn.WorksheetConnection_DataModellingClassWorkbook.xlsxTable31"/>
        </x15:connection>
      </ext>
    </extLst>
  </connection>
  <connection id="5" xr16:uid="{BF614C0F-C531-437D-AEFF-7120AE6A4EDE}" name="WorksheetConnection_Data Modelling - Class Workbook.xlsx!Table4" type="102" refreshedVersion="8" minRefreshableVersion="5">
    <extLst>
      <ext xmlns:x15="http://schemas.microsoft.com/office/spreadsheetml/2010/11/main" uri="{DE250136-89BD-433C-8126-D09CA5730AF9}">
        <x15:connection id="Table4">
          <x15:rangePr sourceName="_xlcn.WorksheetConnection_DataModellingClassWorkbook.xlsxTable41"/>
        </x15:connection>
      </ext>
    </extLst>
  </connection>
</connections>
</file>

<file path=xl/sharedStrings.xml><?xml version="1.0" encoding="utf-8"?>
<sst xmlns="http://schemas.openxmlformats.org/spreadsheetml/2006/main" count="4235" uniqueCount="937">
  <si>
    <t>Roch Cousineau</t>
  </si>
  <si>
    <t>Adrien Martin</t>
  </si>
  <si>
    <t>Albain Forestier</t>
  </si>
  <si>
    <t>Order ID</t>
  </si>
  <si>
    <t>PBOR00001</t>
  </si>
  <si>
    <t>PBOR00002</t>
  </si>
  <si>
    <t>PBOR00003</t>
  </si>
  <si>
    <t>PBOR00004</t>
  </si>
  <si>
    <t>PBOR00005</t>
  </si>
  <si>
    <t>PBOR00006</t>
  </si>
  <si>
    <t>PBOR00007</t>
  </si>
  <si>
    <t>PBOR00009</t>
  </si>
  <si>
    <t>PBOR00010</t>
  </si>
  <si>
    <t>PBOR00011</t>
  </si>
  <si>
    <t>PBOR00012</t>
  </si>
  <si>
    <t>PBOR00013</t>
  </si>
  <si>
    <t>PBOR00014</t>
  </si>
  <si>
    <t>PBOR00015</t>
  </si>
  <si>
    <t>PBOR00016</t>
  </si>
  <si>
    <t>PBOR00017</t>
  </si>
  <si>
    <t>PBOR00018</t>
  </si>
  <si>
    <t>PBOR00019</t>
  </si>
  <si>
    <t>PBOR00020</t>
  </si>
  <si>
    <t>PBOR00021</t>
  </si>
  <si>
    <t>PBOR00022</t>
  </si>
  <si>
    <t>PBOR00023</t>
  </si>
  <si>
    <t>PBOR00024</t>
  </si>
  <si>
    <t>PBOR00025</t>
  </si>
  <si>
    <t>PBOR00026</t>
  </si>
  <si>
    <t>PBOR00027</t>
  </si>
  <si>
    <t>PBOR00029</t>
  </si>
  <si>
    <t>PBOR00030</t>
  </si>
  <si>
    <t>PBOR00031</t>
  </si>
  <si>
    <t>PBOR00032</t>
  </si>
  <si>
    <t>PBOR00033</t>
  </si>
  <si>
    <t>PBOR00035</t>
  </si>
  <si>
    <t>PBOR00036</t>
  </si>
  <si>
    <t>PBOR00037</t>
  </si>
  <si>
    <t>PBOR00038</t>
  </si>
  <si>
    <t>PBOR00040</t>
  </si>
  <si>
    <t>PBOR00041</t>
  </si>
  <si>
    <t>PBOR00042</t>
  </si>
  <si>
    <t>PBOR00043</t>
  </si>
  <si>
    <t>PBOR00044</t>
  </si>
  <si>
    <t>PBOR00045</t>
  </si>
  <si>
    <t>PBOR00046</t>
  </si>
  <si>
    <t>PBOR00047</t>
  </si>
  <si>
    <t>PBOR00048</t>
  </si>
  <si>
    <t>PBOR00049</t>
  </si>
  <si>
    <t>PBOR00050</t>
  </si>
  <si>
    <t>Product ID</t>
  </si>
  <si>
    <t>PIZB0001</t>
  </si>
  <si>
    <t>PIZB0002</t>
  </si>
  <si>
    <t>PIZB0003</t>
  </si>
  <si>
    <t>PIZB0004</t>
  </si>
  <si>
    <t>PIZB0005</t>
  </si>
  <si>
    <t>PIZB0006</t>
  </si>
  <si>
    <t>Sale Date</t>
  </si>
  <si>
    <t>Product Name</t>
  </si>
  <si>
    <t>Paneer Tikka Pizzabun</t>
  </si>
  <si>
    <t>Crispy Chole Pizzabun</t>
  </si>
  <si>
    <t>Large Paneer Tikka Pizzabun</t>
  </si>
  <si>
    <t>Medium Crispy Chole Pizzabun</t>
  </si>
  <si>
    <t>Minty Pizzabun</t>
  </si>
  <si>
    <t>Aloo Shots Pizzabun</t>
  </si>
  <si>
    <t>Order Type</t>
  </si>
  <si>
    <t>Online</t>
  </si>
  <si>
    <t>Physical Visit</t>
  </si>
  <si>
    <t>Price of One Product</t>
  </si>
  <si>
    <t>Agent</t>
  </si>
  <si>
    <t>No of Products in one Sale</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</si>
  <si>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</si>
  <si>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</si>
  <si>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</si>
  <si>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</si>
  <si>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</si>
  <si>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</si>
  <si>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</si>
  <si>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</si>
  <si>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</si>
  <si>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</si>
  <si>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</si>
  <si>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</si>
  <si>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</si>
  <si>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</si>
  <si>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</si>
  <si>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</si>
  <si>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</si>
  <si>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</si>
  <si>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</si>
  <si>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</si>
  <si>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</si>
  <si>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</si>
  <si>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</si>
  <si>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</si>
  <si>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</si>
  <si>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</si>
  <si>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</si>
  <si>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</si>
  <si>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</si>
  <si>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</si>
  <si>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</si>
  <si>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</si>
  <si>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</si>
  <si>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</si>
  <si>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</si>
  <si>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</si>
  <si>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</si>
  <si>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</si>
  <si>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</si>
  <si>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</si>
  <si>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</si>
  <si>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</si>
  <si>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</si>
  <si>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</si>
  <si>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</si>
  <si>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</si>
  <si>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</si>
  <si>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</si>
  <si>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</si>
  <si>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</si>
  <si>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</si>
  <si>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</si>
  <si>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</si>
  <si>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</si>
  <si>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</si>
  <si>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</si>
  <si>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</si>
  <si>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</si>
  <si>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</si>
  <si>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</si>
  <si>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</si>
  <si>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</si>
  <si>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</si>
  <si>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</si>
  <si>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</si>
  <si>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</si>
  <si>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</si>
  <si>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</si>
  <si>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</si>
  <si>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</si>
  <si>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</si>
  <si>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</si>
  <si>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</si>
  <si>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</si>
  <si>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</si>
  <si>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</si>
  <si>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</si>
  <si>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</si>
  <si>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</si>
  <si>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</si>
  <si>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</si>
  <si>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</si>
  <si>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</si>
  <si>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</si>
  <si>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</si>
  <si>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</si>
  <si>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</si>
  <si>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</si>
  <si>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</si>
  <si>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</si>
  <si>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</si>
  <si>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</si>
  <si>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</si>
  <si>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</si>
  <si>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</si>
  <si>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</si>
  <si>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</si>
  <si>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</si>
  <si>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</si>
  <si>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</si>
  <si>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</si>
  <si>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</si>
  <si>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</si>
  <si>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</si>
  <si>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</si>
  <si>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</si>
  <si>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</si>
  <si>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</si>
  <si>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</si>
  <si>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</si>
  <si>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</si>
  <si>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</si>
  <si>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</si>
  <si>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</si>
  <si>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</si>
  <si>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</si>
  <si>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</si>
  <si>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</si>
  <si>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</si>
  <si>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</si>
  <si>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</si>
  <si>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</si>
  <si>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</si>
  <si>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</si>
  <si>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</si>
  <si>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</si>
  <si>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</si>
  <si>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</si>
  <si>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</si>
  <si>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</si>
  <si>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</si>
  <si>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</si>
  <si>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</si>
  <si>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</si>
  <si>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</si>
  <si>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</si>
  <si>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</si>
  <si>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</si>
  <si>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</si>
  <si>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</si>
  <si>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</si>
  <si>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</si>
  <si>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</si>
  <si>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</si>
  <si>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</si>
  <si>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</si>
  <si>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</si>
  <si>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</si>
  <si>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</si>
  <si>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</si>
  <si>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</si>
  <si>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</si>
  <si>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</si>
  <si>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</si>
  <si>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</si>
  <si>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</si>
  <si>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</si>
  <si>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</si>
  <si>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</si>
  <si>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</si>
  <si>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</si>
  <si>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</si>
  <si>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</si>
  <si>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</si>
  <si>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</si>
  <si>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</si>
  <si>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</si>
  <si>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</si>
  <si>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</si>
  <si>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</si>
  <si>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</si>
  <si>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</si>
  <si>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</si>
  <si>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</si>
  <si>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</si>
  <si>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</si>
  <si>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</si>
  <si>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</si>
  <si>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</si>
  <si>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</si>
  <si>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</si>
  <si>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</si>
  <si>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</si>
  <si>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</si>
  <si>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</si>
  <si>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</si>
  <si>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</si>
  <si>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</si>
  <si>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</si>
  <si>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</si>
  <si>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</si>
  <si>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</si>
  <si>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</si>
  <si>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</si>
  <si>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</si>
  <si>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</si>
  <si>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</si>
  <si>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</si>
  <si>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</si>
  <si>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</si>
  <si>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</si>
  <si>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</si>
  <si>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</si>
  <si>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</si>
  <si>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</si>
  <si>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</si>
  <si>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</si>
  <si>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</si>
  <si>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</si>
  <si>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</si>
  <si>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</si>
  <si>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</si>
  <si>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</si>
  <si>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</si>
  <si>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</si>
  <si>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</si>
  <si>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</si>
  <si>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</si>
  <si>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</si>
  <si>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</si>
  <si>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</si>
  <si>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</si>
  <si>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</si>
  <si>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</si>
  <si>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</si>
  <si>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</si>
  <si>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</si>
  <si>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</si>
  <si>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</si>
  <si>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</si>
  <si>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</si>
  <si>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</si>
  <si>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</si>
  <si>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</si>
  <si>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</si>
  <si>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</si>
  <si>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</si>
  <si>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</si>
  <si>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</si>
  <si>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</si>
  <si>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</si>
  <si>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</si>
  <si>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</si>
  <si>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</si>
  <si>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</si>
  <si>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</si>
  <si>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</si>
  <si>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</si>
  <si>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</si>
  <si>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</si>
  <si>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</si>
  <si>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</si>
  <si>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</si>
  <si>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</si>
  <si>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</si>
  <si>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</si>
  <si>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</si>
  <si>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</si>
  <si>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</si>
  <si>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</si>
  <si>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</si>
  <si>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</si>
  <si>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</si>
  <si>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</si>
  <si>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</si>
  <si>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</si>
  <si>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</si>
  <si>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</si>
  <si>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</si>
  <si>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</si>
  <si>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</si>
  <si>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</si>
  <si>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</si>
  <si>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</si>
  <si>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</si>
  <si>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</si>
  <si>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</si>
  <si>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</si>
  <si>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</si>
  <si>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</si>
  <si>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</si>
  <si>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</si>
  <si>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</si>
  <si>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</si>
  <si>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</si>
  <si>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</si>
  <si>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</si>
  <si>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</si>
  <si>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</si>
  <si>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</si>
  <si>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</si>
  <si>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</si>
  <si>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</si>
  <si>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</si>
  <si>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</si>
  <si>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</si>
  <si>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</si>
  <si>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</si>
  <si>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</si>
  <si>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</si>
  <si>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</si>
  <si>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</si>
  <si>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</si>
  <si>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</si>
  <si>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</si>
  <si>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</si>
  <si>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</si>
  <si>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</si>
  <si>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</si>
  <si>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</si>
  <si>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</si>
  <si>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</si>
  <si>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</si>
  <si>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</si>
  <si>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</si>
  <si>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</si>
  <si>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</si>
  <si>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</si>
  <si>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</si>
  <si>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</si>
  <si>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</si>
  <si>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</si>
  <si>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</si>
  <si>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</si>
  <si>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</si>
  <si>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</si>
  <si>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</si>
  <si>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</si>
  <si>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</si>
  <si>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</si>
  <si>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</si>
  <si>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</si>
  <si>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</si>
  <si>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</si>
  <si>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</si>
  <si>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</si>
  <si>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</si>
  <si>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</si>
  <si>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</si>
  <si>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</si>
  <si>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</si>
  <si>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</si>
  <si>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</si>
  <si>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</si>
  <si>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</si>
  <si>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</si>
  <si>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</si>
  <si>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</si>
  <si>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</si>
  <si>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</si>
  <si>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</si>
  <si>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</si>
  <si>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</si>
  <si>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</si>
  <si>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</si>
  <si>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</si>
  <si>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</si>
  <si>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</si>
  <si>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</si>
  <si>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</si>
  <si>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</si>
  <si>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</si>
  <si>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</si>
  <si>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</si>
  <si>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</si>
  <si>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</si>
  <si>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</si>
  <si>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</si>
  <si>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</si>
  <si>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</si>
  <si>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</si>
  <si>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</si>
  <si>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</si>
  <si>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</si>
  <si>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</si>
  <si>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</si>
  <si>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</si>
  <si>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</si>
  <si>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</si>
  <si>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</si>
  <si>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</si>
  <si>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</si>
  <si>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</si>
  <si>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</si>
  <si>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</si>
  <si>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</si>
  <si>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</si>
  <si>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</si>
  <si>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</si>
  <si>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</si>
  <si>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</si>
  <si>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</si>
  <si>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</si>
  <si>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</si>
  <si>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</si>
  <si>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</si>
  <si>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</si>
  <si>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</si>
  <si>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</si>
  <si>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</si>
  <si>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</si>
  <si>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</si>
  <si>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</si>
  <si>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</si>
  <si>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</si>
  <si>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</si>
  <si>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</si>
  <si>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</si>
  <si>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</si>
  <si>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</si>
  <si>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</si>
  <si>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</si>
  <si>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</si>
  <si>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</si>
  <si>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</si>
  <si>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</si>
  <si>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</si>
  <si>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</si>
  <si>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</si>
  <si>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</si>
  <si>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</si>
  <si>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</si>
  <si>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</si>
  <si>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</si>
  <si>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</si>
  <si>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</si>
  <si>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</si>
  <si>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</si>
  <si>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</si>
  <si>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</si>
  <si>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</si>
  <si>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</si>
  <si>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</si>
  <si>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</si>
  <si>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</si>
  <si>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</si>
  <si>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</si>
  <si>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</si>
  <si>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</si>
  <si>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</si>
  <si>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</si>
  <si>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</si>
  <si>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</si>
  <si>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</si>
  <si>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</si>
  <si>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</si>
  <si>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</si>
  <si>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</si>
  <si>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</si>
  <si>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</si>
  <si>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</si>
  <si>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</si>
  <si>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</si>
  <si>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</si>
  <si>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</si>
  <si>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</si>
  <si>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</si>
  <si>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</si>
  <si>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</si>
  <si>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</si>
  <si>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</si>
  <si>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</si>
  <si>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</si>
  <si>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</si>
  <si>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</si>
  <si>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</si>
  <si>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</si>
  <si>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</si>
  <si>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</si>
  <si>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</si>
  <si>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</si>
  <si>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</si>
  <si>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</si>
  <si>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</si>
  <si>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</si>
  <si>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</si>
  <si>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</si>
  <si>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</si>
  <si>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</si>
  <si>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</si>
  <si>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</si>
  <si>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</si>
  <si>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</si>
  <si>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</si>
  <si>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</si>
  <si>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</si>
  <si>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</si>
  <si>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</si>
  <si>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</si>
  <si>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</si>
  <si>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</si>
  <si>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</si>
  <si>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</si>
  <si>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</si>
  <si>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</si>
  <si>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</si>
  <si>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</si>
  <si>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</si>
  <si>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</si>
  <si>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</si>
  <si>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</si>
  <si>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</si>
  <si>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</si>
  <si>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</si>
  <si>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</si>
  <si>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</si>
  <si>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</si>
  <si>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</si>
  <si>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</si>
  <si>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</si>
  <si>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</si>
  <si>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</si>
  <si>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</si>
  <si>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</si>
  <si>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</si>
  <si>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</si>
  <si>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</si>
  <si>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</si>
  <si>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</si>
  <si>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</si>
  <si>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</si>
  <si>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</si>
  <si>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</si>
  <si>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</si>
  <si>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</si>
  <si>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</si>
  <si>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</si>
  <si>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</si>
  <si>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</si>
  <si>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</si>
  <si>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</si>
  <si>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</si>
  <si>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</si>
  <si>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</si>
  <si>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</si>
  <si>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</si>
  <si>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</si>
  <si>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</si>
  <si>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</si>
  <si>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</si>
  <si>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</si>
  <si>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</si>
  <si>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</si>
  <si>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</si>
  <si>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</si>
  <si>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</si>
  <si>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</si>
  <si>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</si>
  <si>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</si>
  <si>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</si>
  <si>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</si>
  <si>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</si>
  <si>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</si>
  <si>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</si>
  <si>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</si>
  <si>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</si>
  <si>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</si>
  <si>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</si>
  <si>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</si>
  <si>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</si>
  <si>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</si>
  <si>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</si>
  <si>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</si>
  <si>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</si>
  <si>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</si>
  <si>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</si>
  <si>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</si>
  <si>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</si>
  <si>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</si>
  <si>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</si>
  <si>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</si>
  <si>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</si>
  <si>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</si>
  <si>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</si>
  <si>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</si>
  <si>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</si>
  <si>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</si>
  <si>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</si>
  <si>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</si>
  <si>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</si>
  <si>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</si>
  <si>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</si>
  <si>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</si>
  <si>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</si>
  <si>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</si>
  <si>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</si>
  <si>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</si>
  <si>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</si>
  <si>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</si>
  <si>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</si>
  <si>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</si>
  <si>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</si>
  <si>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</si>
  <si>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</si>
  <si>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</si>
  <si>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</si>
  <si>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</si>
  <si>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</si>
  <si>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</si>
  <si>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</si>
  <si>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</si>
  <si>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</si>
  <si>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</si>
  <si>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</si>
  <si>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</si>
  <si>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</si>
  <si>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</si>
  <si>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</si>
  <si>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</si>
  <si>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</si>
  <si>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</si>
  <si>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</si>
  <si>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</si>
  <si>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</si>
  <si>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</si>
  <si>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</si>
  <si>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</si>
  <si>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</si>
  <si>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</si>
  <si>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</si>
  <si>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</si>
  <si>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</si>
  <si>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</si>
  <si>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</si>
  <si>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</si>
  <si>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</si>
  <si>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</si>
  <si>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</si>
  <si>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</si>
  <si>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</si>
  <si>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</si>
  <si>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</si>
  <si>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</si>
  <si>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</si>
  <si>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</si>
  <si>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</si>
  <si>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</si>
  <si>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</si>
  <si>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</si>
  <si>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</si>
  <si>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</si>
  <si>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</si>
  <si>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</si>
  <si>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</si>
  <si>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</si>
  <si>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</si>
  <si>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</si>
  <si>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</si>
  <si>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</si>
  <si>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</si>
  <si>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</si>
  <si>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</si>
  <si>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</si>
  <si>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</si>
  <si>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</si>
  <si>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</si>
  <si>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</si>
  <si>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</si>
  <si>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</si>
  <si>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</si>
  <si>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</si>
  <si>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</si>
  <si>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</si>
  <si>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</si>
  <si>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</si>
  <si>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</si>
  <si>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</si>
  <si>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</si>
  <si>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</si>
  <si>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</si>
  <si>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</si>
  <si>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</si>
  <si>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</si>
  <si>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</si>
  <si>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</si>
  <si>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</si>
  <si>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</si>
  <si>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</si>
  <si>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</si>
  <si>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</si>
  <si>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</si>
  <si>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</si>
  <si>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</si>
  <si>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</si>
  <si>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</si>
  <si>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</si>
  <si>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</si>
  <si>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</si>
  <si>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</si>
  <si>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</si>
  <si>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</si>
  <si>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</si>
  <si>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</si>
  <si>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</si>
  <si>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</si>
  <si>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</si>
  <si>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</si>
  <si>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</si>
  <si>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</si>
  <si>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</si>
  <si>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</si>
  <si>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</si>
  <si>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</si>
  <si>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</si>
  <si>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</si>
  <si>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</si>
  <si>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</si>
  <si>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</si>
  <si>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</si>
  <si>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</si>
  <si>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</si>
  <si>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</si>
  <si>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</si>
  <si>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</si>
  <si>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</si>
  <si>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</si>
  <si>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</si>
  <si>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</si>
  <si>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</si>
  <si>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</si>
  <si>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</si>
  <si>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</si>
  <si>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</si>
  <si>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</si>
  <si>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</si>
  <si>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</si>
  <si>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</si>
  <si>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</si>
  <si>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</si>
  <si>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</si>
  <si>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</si>
  <si>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</si>
  <si>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</si>
  <si>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</si>
  <si>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</si>
  <si>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</si>
  <si>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</si>
  <si>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</si>
  <si>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</si>
  <si>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</si>
  <si>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</si>
  <si>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</si>
  <si>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</si>
  <si>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</si>
  <si>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</si>
  <si>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</si>
  <si>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</si>
  <si>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</si>
  <si>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Discount</t>
  </si>
  <si>
    <t>Customer Service Dashboard</t>
  </si>
  <si>
    <t>Finance Dashboard</t>
  </si>
  <si>
    <t>Include Every Agent's Average Customer Satisfaction</t>
  </si>
  <si>
    <t>Find the Overall Sales value for Each Day</t>
  </si>
  <si>
    <t>Include Every Agent's No of Interactions with customers</t>
  </si>
  <si>
    <t>Find the Average Sales Value for Each Day</t>
  </si>
  <si>
    <t xml:space="preserve">Include Every Contact Types's No of Interactions </t>
  </si>
  <si>
    <t>Create a Round off Value for the Sale amount to their nearest 5 rupees and give a comparison to the actual sale value</t>
  </si>
  <si>
    <t>Include Every Contact Types's Average Customer Satisfaction</t>
  </si>
  <si>
    <t>What is the Sales Amount for 300 to 500, 500 to 700, 700 to 900, 900 to 1100 and 1100 to 1300 rupees buckets</t>
  </si>
  <si>
    <t>Day wise Customer Satisfaction</t>
  </si>
  <si>
    <t>What is the number of sold products for 300 to 500, 500 to 700, 700 to 900, 900 to 1100 and 1100 to 1300 rupees buckets</t>
  </si>
  <si>
    <t>Day wise Customer Interaction</t>
  </si>
  <si>
    <t>A comparison for each product's sales value and their average prices</t>
  </si>
  <si>
    <t>Order Fulfillment Dashboard</t>
  </si>
  <si>
    <t>Total Orders, Total Revenue, Average Revenue, Average Discount Given</t>
  </si>
  <si>
    <t>Most Ordered Products</t>
  </si>
  <si>
    <t>Trend of no of Sales for Each Day</t>
  </si>
  <si>
    <t>Trend of Revenue Generated for each day</t>
  </si>
  <si>
    <t>Trend of Revenue Generated for Each Product</t>
  </si>
  <si>
    <t>Multiple Views for Online and Offline orders (using Slicers)</t>
  </si>
  <si>
    <t>Row Labels</t>
  </si>
  <si>
    <t>Grand Total</t>
  </si>
  <si>
    <t>13-Jun</t>
  </si>
  <si>
    <t>14-Jun</t>
  </si>
  <si>
    <t>15-Jun</t>
  </si>
  <si>
    <t>16-Jun</t>
  </si>
  <si>
    <t>17-Jun</t>
  </si>
  <si>
    <t>18-Jun</t>
  </si>
  <si>
    <t>19-Jun</t>
  </si>
  <si>
    <t>20-Jun</t>
  </si>
  <si>
    <t>21-Jun</t>
  </si>
  <si>
    <t>22-Jun</t>
  </si>
  <si>
    <t>23-Jun</t>
  </si>
  <si>
    <t>24-Jun</t>
  </si>
  <si>
    <t>25-Jun</t>
  </si>
  <si>
    <t>26-Jun</t>
  </si>
  <si>
    <t>27-Jun</t>
  </si>
  <si>
    <t>28-Jun</t>
  </si>
  <si>
    <t>30-Jun</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</si>
  <si>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</si>
  <si>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</si>
  <si>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</si>
  <si>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</si>
  <si>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</si>
  <si>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</si>
  <si>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</si>
  <si>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</si>
  <si>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</si>
  <si>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</si>
  <si>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</si>
  <si>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</si>
  <si>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</si>
  <si>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</si>
  <si>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</si>
  <si>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</si>
  <si>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</si>
  <si>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</si>
  <si>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</si>
  <si>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</si>
  <si>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</si>
  <si>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22-Jul</t>
  </si>
  <si>
    <t>23-Jul</t>
  </si>
  <si>
    <t>24-Jul</t>
  </si>
  <si>
    <t>26-Jul</t>
  </si>
  <si>
    <t>27-Jul</t>
  </si>
  <si>
    <t>28-Jul</t>
  </si>
  <si>
    <t>29-Jul</t>
  </si>
  <si>
    <t>30-Jul</t>
  </si>
  <si>
    <t>31-Jul</t>
  </si>
  <si>
    <t>01-Aug</t>
  </si>
  <si>
    <t>02-Aug</t>
  </si>
  <si>
    <t>03-Aug</t>
  </si>
  <si>
    <t>04-Aug</t>
  </si>
  <si>
    <t>05-Aug</t>
  </si>
  <si>
    <t>06-Aug</t>
  </si>
  <si>
    <t>07-Aug</t>
  </si>
  <si>
    <t>08-Aug</t>
  </si>
  <si>
    <t>09-Aug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</si>
  <si>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</si>
  <si>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</si>
  <si>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</si>
  <si>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</si>
  <si>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</si>
  <si>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</si>
  <si>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</si>
  <si>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</si>
  <si>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</si>
  <si>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</si>
  <si>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</si>
  <si>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</si>
  <si>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</si>
  <si>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</si>
  <si>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</si>
  <si>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</si>
  <si>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</si>
  <si>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</si>
  <si>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</si>
  <si>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</si>
  <si>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</si>
  <si>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</si>
  <si>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01-Sep</t>
  </si>
  <si>
    <t>02-Sep</t>
  </si>
  <si>
    <t>03-Sep</t>
  </si>
  <si>
    <t>04-Sep</t>
  </si>
  <si>
    <t>05-Sep</t>
  </si>
  <si>
    <t>06-Sep</t>
  </si>
  <si>
    <t>Count of Order ID</t>
  </si>
  <si>
    <t>Sum of Revenue</t>
  </si>
  <si>
    <t>Average of Revenue</t>
  </si>
  <si>
    <t>Sum of Discount</t>
  </si>
  <si>
    <t>Average of Discount</t>
  </si>
  <si>
    <t>Sum of No of Products in one Sale</t>
  </si>
  <si>
    <t>Jun</t>
  </si>
  <si>
    <t>Jul</t>
  </si>
  <si>
    <t>Aug</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</si>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</sst>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6" x14ac:knownFonts="1">
    <font>
      <sz val="11"/>
      <color theme="1"/>
      <name val="Calibri"/>
      <family val="2"/>
      <scheme val="minor"/>
    </font>
    <font>
      <b/>
      <sz val="11"/>
      <color theme="0"/>
      <name val="Calibri"/>
      <family val="2"/>
      <scheme val="minor"/>
    </font>
    <font>
      <sz val="11"/>
      <color theme="1"/>
      <name val="Calibri"/>
      <family val="2"/>
      <scheme val="minor"/>
    </font>
    <font>
      <b/>
      <sz val="11"/>
      <color theme="1"/>
      <name val="Calibri"/>
      <family val="2"/>
      <scheme val="minor"/>
    </font>
    <font>
      <b/>
      <sz val="20"/>
      <color theme="0"/>
      <name val="Times New Roman"/>
      <family val="1"/>
    </font>
    <font>
      <b/>
      <sz val="30"/>
      <color rgb="FF1F4E78"/>
      <name val="Times New Roman"/>
      <family val="1"/>
    </font>
  </fonts>
  <fills count="5">
    <fill>
      <patternFill patternType="none"/>
    </fill>
    <fill>
      <patternFill patternType="gray125"/>
    </fill>
    <fill>
      <patternFill patternType="solid">
        <fgColor theme="4"/>
        <bgColor indexed="64"/>
      </patternFill>
    </fill>
    <fill>
      <patternFill patternType="solid">
        <fgColor rgb="FF4472C4"/>
        <bgColor indexed="64"/>
      </patternFill>
    </fill>
    <fill>
      <patternFill patternType="solid">
        <fgColor rgb="FFF4F7FB"/>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15" fontId="0" fillId="0" borderId="0" xfId="0" applyNumberFormat="1" applyAlignment="1">
      <alignment horizontal="center"/>
    </xf>
    <xf numFmtId="0" fontId="0" fillId="0" borderId="0" xfId="0" applyAlignment="1">
      <alignment horizontal="center"/>
    </xf>
    <xf numFmtId="0" fontId="1" fillId="2" borderId="0" xfId="0" applyFont="1" applyFill="1" applyAlignment="1">
      <alignment horizontal="center" vertical="center"/>
    </xf>
    <xf numFmtId="0" fontId="0" fillId="0" borderId="0" xfId="0" pivotButton="1"/>
    <xf numFmtId="0" fontId="0" fillId="0" borderId="0" xfId="0" applyAlignment="1">
      <alignment horizontal="left"/>
    </xf>
    <xf numFmtId="2" fontId="0" fillId="0" borderId="0" xfId="0" applyNumberFormat="1"/>
    <xf numFmtId="0" fontId="3" fillId="0" borderId="0" xfId="0" applyFont="1"/>
    <xf numFmtId="15" fontId="0" fillId="0" borderId="0" xfId="0" applyNumberFormat="1" applyAlignment="1">
      <alignment horizontal="left" indent="1"/>
    </xf>
    <xf numFmtId="0" fontId="0" fillId="3" borderId="0" xfId="0" applyFill="1"/>
    <xf numFmtId="10" fontId="0" fillId="0" borderId="0" xfId="0" applyNumberFormat="1"/>
    <xf numFmtId="9" fontId="0" fillId="0" borderId="0" xfId="1" applyFont="1"/>
    <xf numFmtId="1" fontId="0" fillId="0" borderId="0" xfId="0" applyNumberFormat="1"/>
    <xf numFmtId="0" fontId="0" fillId="4" borderId="0" xfId="0" applyFill="1"/>
    <xf numFmtId="0" fontId="4" fillId="4" borderId="0" xfId="0" applyFont="1" applyFill="1" applyAlignment="1">
      <alignment horizontal="center" vertical="center"/>
    </xf>
    <xf numFmtId="0" fontId="5" fillId="4" borderId="0" xfId="0" applyFont="1" applyFill="1" applyAlignment="1">
      <alignment horizontal="center" vertical="center"/>
    </xf>
    <xf numFmtId="9" fontId="0" fillId="0" borderId="0" xfId="0" applyNumberFormat="1"/>
    <xf numFmtId="0" fontId="0" fillId="0" borderId="0" xfId="0" applyNumberFormat="1"/>
  </cellXfs>
  <cellStyles count="2">
    <cellStyle name="Normal" xfId="0" builtinId="0"/>
    <cellStyle name="Percent" xfId="1" builtinId="5"/>
  </cellStyles>
  <dxfs count="3">
    <dxf>
      <numFmt numFmtId="13" formatCode="0%"/>
    </dxf>
    <dxf>
      <alignment horizontal="center" vertical="bottom" textRotation="0" wrapText="0" indent="0" justifyLastLine="0" shrinkToFit="0" readingOrder="0"/>
    </dxf>
    <dxf>
      <numFmt numFmtId="20" formatCode="dd/mmm/yy"/>
      <alignment horizontal="center" vertical="bottom" textRotation="0" wrapText="0" indent="0" justifyLastLine="0" shrinkToFit="0" readingOrder="0"/>
    </dxf>
  </dxfs>
  <tableStyles count="1" defaultTableStyle="TableStyleMedium2" defaultPivotStyle="PivotStyleLight16">
    <tableStyle name="Invisible" pivot="0" table="0" count="0" xr9:uid="{3E1378A3-7D63-4E68-B8CF-E0729F08057B}"/>
  </tableStyles>
  <colors>
    <mruColors>
      <color rgb="FFD9EAF7"/>
      <color rgb="FF1F4E78"/>
      <color rgb="FFF4F7FB"/>
      <color rgb="FF00A6A6"/>
      <color rgb="FFF4B942"/>
      <color rgb="FF9DC3E6"/>
      <color rgb="FFE76F51"/>
      <color rgb="FF6C91BF"/>
      <color rgb="FF8AB17D"/>
      <color rgb="FFE9C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ustomXml" Target="../customXml/item9.xml"/><Relationship Id="rId7" Type="http://schemas.openxmlformats.org/officeDocument/2006/relationships/theme" Target="theme/theme1.xml"/><Relationship Id="rId12" Type="http://schemas.openxmlformats.org/officeDocument/2006/relationships/calcChain" Target="calcChain.xml"/><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owerPivotData" Target="model/item.data"/><Relationship Id="rId24" Type="http://schemas.openxmlformats.org/officeDocument/2006/relationships/customXml" Target="../customXml/item12.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haredStrings" Target="sharedStrings.xml"/><Relationship Id="rId19" Type="http://schemas.openxmlformats.org/officeDocument/2006/relationships/customXml" Target="../customXml/item7.xml"/><Relationship Id="rId31"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project Final.xlsx]Pivot Orders!PivotTable6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latin typeface="Times New Roman" panose="02020603050405020304" pitchFamily="18" charset="0"/>
                <a:cs typeface="Times New Roman" panose="02020603050405020304" pitchFamily="18" charset="0"/>
              </a:rPr>
              <a:t>Most Ordered Products</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A6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A6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76F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Orders'!$B$17</c:f>
              <c:strCache>
                <c:ptCount val="1"/>
                <c:pt idx="0">
                  <c:v>Total</c:v>
                </c:pt>
              </c:strCache>
            </c:strRef>
          </c:tx>
          <c:spPr>
            <a:solidFill>
              <a:srgbClr val="E76F5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Orders'!$A$18:$A$24</c:f>
              <c:strCache>
                <c:ptCount val="6"/>
                <c:pt idx="0">
                  <c:v>Crispy Chole Pizzabun</c:v>
                </c:pt>
                <c:pt idx="1">
                  <c:v>Paneer Tikka Pizzabun</c:v>
                </c:pt>
                <c:pt idx="2">
                  <c:v>Medium Crispy Chole Pizzabun</c:v>
                </c:pt>
                <c:pt idx="3">
                  <c:v>Minty Pizzabun</c:v>
                </c:pt>
                <c:pt idx="4">
                  <c:v>Large Paneer Tikka Pizzabun</c:v>
                </c:pt>
                <c:pt idx="5">
                  <c:v>Aloo Shots Pizzabun</c:v>
                </c:pt>
              </c:strCache>
            </c:strRef>
          </c:cat>
          <c:val>
            <c:numRef>
              <c:f>'Pivot Orders'!$B$18:$B$24</c:f>
              <c:numCache>
                <c:formatCode>General</c:formatCode>
                <c:ptCount val="6"/>
                <c:pt idx="0">
                  <c:v>1422</c:v>
                </c:pt>
                <c:pt idx="1">
                  <c:v>1334</c:v>
                </c:pt>
                <c:pt idx="2">
                  <c:v>708</c:v>
                </c:pt>
                <c:pt idx="3">
                  <c:v>673</c:v>
                </c:pt>
                <c:pt idx="4">
                  <c:v>395</c:v>
                </c:pt>
                <c:pt idx="5">
                  <c:v>196</c:v>
                </c:pt>
              </c:numCache>
            </c:numRef>
          </c:val>
          <c:extLst>
            <c:ext xmlns:c16="http://schemas.microsoft.com/office/drawing/2014/chart" uri="{C3380CC4-5D6E-409C-BE32-E72D297353CC}">
              <c16:uniqueId val="{00000000-3DAE-4B07-AF97-59210725B9D2}"/>
            </c:ext>
          </c:extLst>
        </c:ser>
        <c:dLbls>
          <c:showLegendKey val="0"/>
          <c:showVal val="0"/>
          <c:showCatName val="0"/>
          <c:showSerName val="0"/>
          <c:showPercent val="0"/>
          <c:showBubbleSize val="0"/>
        </c:dLbls>
        <c:gapWidth val="219"/>
        <c:axId val="35038912"/>
        <c:axId val="35039328"/>
      </c:barChart>
      <c:catAx>
        <c:axId val="350389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5039328"/>
        <c:crosses val="autoZero"/>
        <c:auto val="1"/>
        <c:lblAlgn val="ctr"/>
        <c:lblOffset val="100"/>
        <c:noMultiLvlLbl val="0"/>
      </c:catAx>
      <c:valAx>
        <c:axId val="35039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Products ordered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38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project Final.xlsx]Pivot Orders!PivotTable14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latin typeface="Times New Roman" panose="02020603050405020304" pitchFamily="18" charset="0"/>
                <a:cs typeface="Times New Roman" panose="02020603050405020304" pitchFamily="18" charset="0"/>
              </a:rPr>
              <a:t>Daily Sales</a:t>
            </a:r>
            <a:endParaRPr lang="en-US">
              <a:latin typeface="Times New Roman" panose="02020603050405020304" pitchFamily="18" charset="0"/>
              <a:cs typeface="Times New Roman" panose="02020603050405020304" pitchFamily="18" charset="0"/>
            </a:endParaRPr>
          </a:p>
        </c:rich>
      </c:tx>
      <c:layout>
        <c:manualLayout>
          <c:xMode val="edge"/>
          <c:yMode val="edge"/>
          <c:x val="0.42546647212185945"/>
          <c:y val="9.02329893940712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4B94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4B94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4B942"/>
            </a:solidFill>
            <a:round/>
          </a:ln>
          <a:effectLst/>
        </c:spPr>
        <c:marker>
          <c:symbol val="circle"/>
          <c:size val="5"/>
          <c:spPr>
            <a:solidFill>
              <a:srgbClr val="F4B94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4B942"/>
            </a:solidFill>
            <a:round/>
          </a:ln>
          <a:effectLst/>
        </c:spPr>
        <c:marker>
          <c:symbol val="circle"/>
          <c:size val="5"/>
          <c:spPr>
            <a:solidFill>
              <a:srgbClr val="F4B942"/>
            </a:solidFill>
            <a:ln w="9525">
              <a:noFill/>
            </a:ln>
            <a:effectLst/>
          </c:spPr>
        </c:marker>
      </c:pivotFmt>
    </c:pivotFmts>
    <c:plotArea>
      <c:layout/>
      <c:lineChart>
        <c:grouping val="standard"/>
        <c:varyColors val="0"/>
        <c:ser>
          <c:idx val="0"/>
          <c:order val="0"/>
          <c:tx>
            <c:strRef>
              <c:f>'Pivot Orders'!$E$27</c:f>
              <c:strCache>
                <c:ptCount val="1"/>
                <c:pt idx="0">
                  <c:v>Total</c:v>
                </c:pt>
              </c:strCache>
            </c:strRef>
          </c:tx>
          <c:spPr>
            <a:ln w="28575" cap="rnd">
              <a:solidFill>
                <a:srgbClr val="F4B942"/>
              </a:solidFill>
              <a:round/>
            </a:ln>
            <a:effectLst/>
          </c:spPr>
          <c:marker>
            <c:symbol val="circle"/>
            <c:size val="5"/>
            <c:spPr>
              <a:solidFill>
                <a:srgbClr val="F4B942"/>
              </a:solidFill>
              <a:ln w="9525">
                <a:noFill/>
              </a:ln>
              <a:effectLst/>
            </c:spPr>
          </c:marker>
          <c:cat>
            <c:multiLvlStrRef>
              <c:f>'Pivot Orders'!$D$28:$D$116</c:f>
              <c:multiLvlStrCache>
                <c:ptCount val="84"/>
                <c:lvl>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lvl>
                <c:lvl>
                  <c:pt idx="0">
                    <c:v>Jun</c:v>
                  </c:pt>
                  <c:pt idx="17">
                    <c:v>Jul</c:v>
                  </c:pt>
                  <c:pt idx="47">
                    <c:v>Aug</c:v>
                  </c:pt>
                  <c:pt idx="78">
                    <c:v>Sep</c:v>
                  </c:pt>
                </c:lvl>
              </c:multiLvlStrCache>
            </c:multiLvlStrRef>
          </c:cat>
          <c:val>
            <c:numRef>
              <c:f>'Pivot Orders'!$E$28:$E$116</c:f>
              <c:numCache>
                <c:formatCode>General</c:formatCode>
                <c:ptCount val="84"/>
                <c:pt idx="0">
                  <c:v>13</c:v>
                </c:pt>
                <c:pt idx="1">
                  <c:v>11</c:v>
                </c:pt>
                <c:pt idx="2">
                  <c:v>18</c:v>
                </c:pt>
                <c:pt idx="3">
                  <c:v>7</c:v>
                </c:pt>
                <c:pt idx="4">
                  <c:v>12</c:v>
                </c:pt>
                <c:pt idx="5">
                  <c:v>6</c:v>
                </c:pt>
                <c:pt idx="6">
                  <c:v>13</c:v>
                </c:pt>
                <c:pt idx="7">
                  <c:v>8</c:v>
                </c:pt>
                <c:pt idx="8">
                  <c:v>7</c:v>
                </c:pt>
                <c:pt idx="9">
                  <c:v>34</c:v>
                </c:pt>
                <c:pt idx="10">
                  <c:v>29</c:v>
                </c:pt>
                <c:pt idx="11">
                  <c:v>13</c:v>
                </c:pt>
                <c:pt idx="12">
                  <c:v>26</c:v>
                </c:pt>
                <c:pt idx="13">
                  <c:v>17</c:v>
                </c:pt>
                <c:pt idx="14">
                  <c:v>11</c:v>
                </c:pt>
                <c:pt idx="15">
                  <c:v>27</c:v>
                </c:pt>
                <c:pt idx="16">
                  <c:v>10</c:v>
                </c:pt>
                <c:pt idx="17">
                  <c:v>10</c:v>
                </c:pt>
                <c:pt idx="18">
                  <c:v>15</c:v>
                </c:pt>
                <c:pt idx="19">
                  <c:v>5</c:v>
                </c:pt>
                <c:pt idx="20">
                  <c:v>16</c:v>
                </c:pt>
                <c:pt idx="21">
                  <c:v>10</c:v>
                </c:pt>
                <c:pt idx="22">
                  <c:v>10</c:v>
                </c:pt>
                <c:pt idx="23">
                  <c:v>10</c:v>
                </c:pt>
                <c:pt idx="24">
                  <c:v>10</c:v>
                </c:pt>
                <c:pt idx="25">
                  <c:v>10</c:v>
                </c:pt>
                <c:pt idx="26">
                  <c:v>15</c:v>
                </c:pt>
                <c:pt idx="27">
                  <c:v>20</c:v>
                </c:pt>
                <c:pt idx="28">
                  <c:v>10</c:v>
                </c:pt>
                <c:pt idx="29">
                  <c:v>26</c:v>
                </c:pt>
                <c:pt idx="30">
                  <c:v>14</c:v>
                </c:pt>
                <c:pt idx="31">
                  <c:v>14</c:v>
                </c:pt>
                <c:pt idx="32">
                  <c:v>7</c:v>
                </c:pt>
                <c:pt idx="33">
                  <c:v>16</c:v>
                </c:pt>
                <c:pt idx="34">
                  <c:v>14</c:v>
                </c:pt>
                <c:pt idx="35">
                  <c:v>12</c:v>
                </c:pt>
                <c:pt idx="36">
                  <c:v>13</c:v>
                </c:pt>
                <c:pt idx="37">
                  <c:v>19</c:v>
                </c:pt>
                <c:pt idx="38">
                  <c:v>16</c:v>
                </c:pt>
                <c:pt idx="39">
                  <c:v>7</c:v>
                </c:pt>
                <c:pt idx="40">
                  <c:v>5</c:v>
                </c:pt>
                <c:pt idx="41">
                  <c:v>3</c:v>
                </c:pt>
                <c:pt idx="42">
                  <c:v>9</c:v>
                </c:pt>
                <c:pt idx="43">
                  <c:v>10</c:v>
                </c:pt>
                <c:pt idx="44">
                  <c:v>4</c:v>
                </c:pt>
                <c:pt idx="45">
                  <c:v>6</c:v>
                </c:pt>
                <c:pt idx="46">
                  <c:v>2</c:v>
                </c:pt>
                <c:pt idx="47">
                  <c:v>8</c:v>
                </c:pt>
                <c:pt idx="48">
                  <c:v>3</c:v>
                </c:pt>
                <c:pt idx="49">
                  <c:v>4</c:v>
                </c:pt>
                <c:pt idx="50">
                  <c:v>4</c:v>
                </c:pt>
                <c:pt idx="51">
                  <c:v>5</c:v>
                </c:pt>
                <c:pt idx="52">
                  <c:v>3</c:v>
                </c:pt>
                <c:pt idx="53">
                  <c:v>3</c:v>
                </c:pt>
                <c:pt idx="54">
                  <c:v>2</c:v>
                </c:pt>
                <c:pt idx="55">
                  <c:v>8</c:v>
                </c:pt>
                <c:pt idx="56">
                  <c:v>3</c:v>
                </c:pt>
                <c:pt idx="57">
                  <c:v>3</c:v>
                </c:pt>
                <c:pt idx="58">
                  <c:v>6</c:v>
                </c:pt>
                <c:pt idx="59">
                  <c:v>3</c:v>
                </c:pt>
                <c:pt idx="60">
                  <c:v>6</c:v>
                </c:pt>
                <c:pt idx="61">
                  <c:v>5</c:v>
                </c:pt>
                <c:pt idx="62">
                  <c:v>5</c:v>
                </c:pt>
                <c:pt idx="63">
                  <c:v>6</c:v>
                </c:pt>
                <c:pt idx="64">
                  <c:v>7</c:v>
                </c:pt>
                <c:pt idx="65">
                  <c:v>4</c:v>
                </c:pt>
                <c:pt idx="66">
                  <c:v>8</c:v>
                </c:pt>
                <c:pt idx="67">
                  <c:v>7</c:v>
                </c:pt>
                <c:pt idx="68">
                  <c:v>6</c:v>
                </c:pt>
                <c:pt idx="69">
                  <c:v>6</c:v>
                </c:pt>
                <c:pt idx="70">
                  <c:v>4</c:v>
                </c:pt>
                <c:pt idx="71">
                  <c:v>5</c:v>
                </c:pt>
                <c:pt idx="72">
                  <c:v>9</c:v>
                </c:pt>
                <c:pt idx="73">
                  <c:v>10</c:v>
                </c:pt>
                <c:pt idx="74">
                  <c:v>6</c:v>
                </c:pt>
                <c:pt idx="75">
                  <c:v>7</c:v>
                </c:pt>
                <c:pt idx="76">
                  <c:v>5</c:v>
                </c:pt>
                <c:pt idx="77">
                  <c:v>1</c:v>
                </c:pt>
                <c:pt idx="78">
                  <c:v>2</c:v>
                </c:pt>
                <c:pt idx="79">
                  <c:v>4</c:v>
                </c:pt>
                <c:pt idx="80">
                  <c:v>6</c:v>
                </c:pt>
                <c:pt idx="81">
                  <c:v>9</c:v>
                </c:pt>
                <c:pt idx="82">
                  <c:v>6</c:v>
                </c:pt>
                <c:pt idx="83">
                  <c:v>5</c:v>
                </c:pt>
              </c:numCache>
            </c:numRef>
          </c:val>
          <c:smooth val="0"/>
          <c:extLst>
            <c:ext xmlns:c16="http://schemas.microsoft.com/office/drawing/2014/chart" uri="{C3380CC4-5D6E-409C-BE32-E72D297353CC}">
              <c16:uniqueId val="{00000000-6344-49AD-A9BA-E964404E7B32}"/>
            </c:ext>
          </c:extLst>
        </c:ser>
        <c:dLbls>
          <c:showLegendKey val="0"/>
          <c:showVal val="0"/>
          <c:showCatName val="0"/>
          <c:showSerName val="0"/>
          <c:showPercent val="0"/>
          <c:showBubbleSize val="0"/>
        </c:dLbls>
        <c:marker val="1"/>
        <c:smooth val="0"/>
        <c:axId val="1933074944"/>
        <c:axId val="1933092000"/>
      </c:lineChart>
      <c:catAx>
        <c:axId val="1933074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Dates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092000"/>
        <c:crosses val="autoZero"/>
        <c:auto val="1"/>
        <c:lblAlgn val="ctr"/>
        <c:lblOffset val="100"/>
        <c:tickLblSkip val="5"/>
        <c:noMultiLvlLbl val="0"/>
      </c:catAx>
      <c:valAx>
        <c:axId val="19330920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latin typeface="Times New Roman" panose="02020603050405020304" pitchFamily="18" charset="0"/>
                    <a:cs typeface="Times New Roman" panose="02020603050405020304" pitchFamily="18" charset="0"/>
                  </a:rPr>
                  <a:t>Number of Sales</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074944"/>
        <c:crossesAt val="1"/>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project Final.xlsx]Pivot Orders!PivotTable15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latin typeface="Times New Roman" panose="02020603050405020304" pitchFamily="18" charset="0"/>
                <a:cs typeface="Times New Roman" panose="02020603050405020304" pitchFamily="18" charset="0"/>
              </a:rPr>
              <a:t>Daily Revenue</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A6A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A6A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A6A6"/>
            </a:solidFill>
            <a:round/>
          </a:ln>
          <a:effectLst/>
        </c:spPr>
        <c:marker>
          <c:symbol val="circle"/>
          <c:size val="5"/>
          <c:spPr>
            <a:solidFill>
              <a:srgbClr val="00A6A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Orders'!$I$27</c:f>
              <c:strCache>
                <c:ptCount val="1"/>
                <c:pt idx="0">
                  <c:v>Total</c:v>
                </c:pt>
              </c:strCache>
            </c:strRef>
          </c:tx>
          <c:spPr>
            <a:ln w="28575" cap="rnd">
              <a:solidFill>
                <a:srgbClr val="00A6A6"/>
              </a:solidFill>
              <a:round/>
            </a:ln>
            <a:effectLst/>
          </c:spPr>
          <c:marker>
            <c:symbol val="circle"/>
            <c:size val="5"/>
            <c:spPr>
              <a:solidFill>
                <a:srgbClr val="00A6A6"/>
              </a:solidFill>
              <a:ln w="9525">
                <a:noFill/>
              </a:ln>
              <a:effectLst/>
            </c:spPr>
          </c:marker>
          <c:cat>
            <c:multiLvlStrRef>
              <c:f>'Pivot Orders'!$H$28:$H$116</c:f>
              <c:multiLvlStrCache>
                <c:ptCount val="84"/>
                <c:lvl>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lvl>
                <c:lvl>
                  <c:pt idx="0">
                    <c:v>Jun</c:v>
                  </c:pt>
                  <c:pt idx="17">
                    <c:v>Jul</c:v>
                  </c:pt>
                  <c:pt idx="47">
                    <c:v>Aug</c:v>
                  </c:pt>
                  <c:pt idx="78">
                    <c:v>Sep</c:v>
                  </c:pt>
                </c:lvl>
              </c:multiLvlStrCache>
            </c:multiLvlStrRef>
          </c:cat>
          <c:val>
            <c:numRef>
              <c:f>'Pivot Orders'!$I$28:$I$116</c:f>
              <c:numCache>
                <c:formatCode>General</c:formatCode>
                <c:ptCount val="84"/>
                <c:pt idx="0">
                  <c:v>5439.1721348153042</c:v>
                </c:pt>
                <c:pt idx="1">
                  <c:v>2862.8652162816184</c:v>
                </c:pt>
                <c:pt idx="2">
                  <c:v>5906.9389240762412</c:v>
                </c:pt>
                <c:pt idx="3">
                  <c:v>2262.648955632154</c:v>
                </c:pt>
                <c:pt idx="4">
                  <c:v>4835.1791960674072</c:v>
                </c:pt>
                <c:pt idx="5">
                  <c:v>2615.6483628438014</c:v>
                </c:pt>
                <c:pt idx="6">
                  <c:v>4540.5423351476784</c:v>
                </c:pt>
                <c:pt idx="7">
                  <c:v>2780.8039628850556</c:v>
                </c:pt>
                <c:pt idx="8">
                  <c:v>1950.629344931916</c:v>
                </c:pt>
                <c:pt idx="9">
                  <c:v>12605.560938878396</c:v>
                </c:pt>
                <c:pt idx="10">
                  <c:v>7335.4444931867774</c:v>
                </c:pt>
                <c:pt idx="11">
                  <c:v>3495.4029738534414</c:v>
                </c:pt>
                <c:pt idx="12">
                  <c:v>8250.8928588774379</c:v>
                </c:pt>
                <c:pt idx="13">
                  <c:v>7421.9280922972539</c:v>
                </c:pt>
                <c:pt idx="14">
                  <c:v>3527.1096482626508</c:v>
                </c:pt>
                <c:pt idx="15">
                  <c:v>6913.9259049996026</c:v>
                </c:pt>
                <c:pt idx="16">
                  <c:v>2460.5562200009895</c:v>
                </c:pt>
                <c:pt idx="17">
                  <c:v>2406.9612901549385</c:v>
                </c:pt>
                <c:pt idx="18">
                  <c:v>3632.2560979635891</c:v>
                </c:pt>
                <c:pt idx="19">
                  <c:v>1890.337000256882</c:v>
                </c:pt>
                <c:pt idx="20">
                  <c:v>3364.6256302957695</c:v>
                </c:pt>
                <c:pt idx="21">
                  <c:v>3309.3691955590125</c:v>
                </c:pt>
                <c:pt idx="22">
                  <c:v>3382.6607002274313</c:v>
                </c:pt>
                <c:pt idx="23">
                  <c:v>3319.4736889450387</c:v>
                </c:pt>
                <c:pt idx="24">
                  <c:v>4019.8845508165509</c:v>
                </c:pt>
                <c:pt idx="25">
                  <c:v>2916.5297182926402</c:v>
                </c:pt>
                <c:pt idx="26">
                  <c:v>4123.7653307741248</c:v>
                </c:pt>
                <c:pt idx="27">
                  <c:v>7739.4237002842756</c:v>
                </c:pt>
                <c:pt idx="28">
                  <c:v>2435.7501030220901</c:v>
                </c:pt>
                <c:pt idx="29">
                  <c:v>6912.2680197309965</c:v>
                </c:pt>
                <c:pt idx="30">
                  <c:v>4017.6333719583467</c:v>
                </c:pt>
                <c:pt idx="31">
                  <c:v>4705.0808795702387</c:v>
                </c:pt>
                <c:pt idx="32">
                  <c:v>1362.0589101110288</c:v>
                </c:pt>
                <c:pt idx="33">
                  <c:v>3988.7090731787348</c:v>
                </c:pt>
                <c:pt idx="34">
                  <c:v>4790.322854904678</c:v>
                </c:pt>
                <c:pt idx="35">
                  <c:v>4394.185024933593</c:v>
                </c:pt>
                <c:pt idx="36">
                  <c:v>4281.6990494207994</c:v>
                </c:pt>
                <c:pt idx="37">
                  <c:v>4226.6503935231249</c:v>
                </c:pt>
                <c:pt idx="38">
                  <c:v>4023.7775920600975</c:v>
                </c:pt>
                <c:pt idx="39">
                  <c:v>3284.8660618866447</c:v>
                </c:pt>
                <c:pt idx="40">
                  <c:v>1821.1933255634283</c:v>
                </c:pt>
                <c:pt idx="41">
                  <c:v>611.04009870076243</c:v>
                </c:pt>
                <c:pt idx="42">
                  <c:v>3236.7207200765088</c:v>
                </c:pt>
                <c:pt idx="43">
                  <c:v>4062.8751366663228</c:v>
                </c:pt>
                <c:pt idx="44">
                  <c:v>1548.4516668512724</c:v>
                </c:pt>
                <c:pt idx="45">
                  <c:v>1240.6226119388657</c:v>
                </c:pt>
                <c:pt idx="46">
                  <c:v>254.8990159132675</c:v>
                </c:pt>
                <c:pt idx="47">
                  <c:v>2340.3173842244232</c:v>
                </c:pt>
                <c:pt idx="48">
                  <c:v>1000.3728696142152</c:v>
                </c:pt>
                <c:pt idx="49">
                  <c:v>1221.134032936166</c:v>
                </c:pt>
                <c:pt idx="50">
                  <c:v>864.40150273421318</c:v>
                </c:pt>
                <c:pt idx="51">
                  <c:v>1341.8418743727193</c:v>
                </c:pt>
                <c:pt idx="52">
                  <c:v>542.35227102668716</c:v>
                </c:pt>
                <c:pt idx="53">
                  <c:v>493.63002497103543</c:v>
                </c:pt>
                <c:pt idx="54">
                  <c:v>1107.7583865078568</c:v>
                </c:pt>
                <c:pt idx="55">
                  <c:v>1383.3067467457795</c:v>
                </c:pt>
                <c:pt idx="56">
                  <c:v>487.3814038218502</c:v>
                </c:pt>
                <c:pt idx="57">
                  <c:v>921.38334818749308</c:v>
                </c:pt>
                <c:pt idx="58">
                  <c:v>1562.6435678066302</c:v>
                </c:pt>
                <c:pt idx="59">
                  <c:v>201.20690859545056</c:v>
                </c:pt>
                <c:pt idx="60">
                  <c:v>1511.6514211202721</c:v>
                </c:pt>
                <c:pt idx="61">
                  <c:v>1552.4008717702218</c:v>
                </c:pt>
                <c:pt idx="62">
                  <c:v>759.97152571630545</c:v>
                </c:pt>
                <c:pt idx="63">
                  <c:v>1799.8644136913069</c:v>
                </c:pt>
                <c:pt idx="64">
                  <c:v>1750.1486233005423</c:v>
                </c:pt>
                <c:pt idx="65">
                  <c:v>462.91340456913832</c:v>
                </c:pt>
                <c:pt idx="66">
                  <c:v>2322.1049538631833</c:v>
                </c:pt>
                <c:pt idx="67">
                  <c:v>2040.7311840557782</c:v>
                </c:pt>
                <c:pt idx="68">
                  <c:v>2440.5276784169728</c:v>
                </c:pt>
                <c:pt idx="69">
                  <c:v>783.84620276440148</c:v>
                </c:pt>
                <c:pt idx="70">
                  <c:v>1257.1297079410622</c:v>
                </c:pt>
                <c:pt idx="71">
                  <c:v>1270.9766632294888</c:v>
                </c:pt>
                <c:pt idx="72">
                  <c:v>3265.7987918479243</c:v>
                </c:pt>
                <c:pt idx="73">
                  <c:v>2833.6508209998801</c:v>
                </c:pt>
                <c:pt idx="74">
                  <c:v>1147.2077936235114</c:v>
                </c:pt>
                <c:pt idx="75">
                  <c:v>1831.3515850872427</c:v>
                </c:pt>
                <c:pt idx="76">
                  <c:v>1854.6297536246789</c:v>
                </c:pt>
                <c:pt idx="77">
                  <c:v>484.2301650749543</c:v>
                </c:pt>
                <c:pt idx="78">
                  <c:v>203.46382092739609</c:v>
                </c:pt>
                <c:pt idx="79">
                  <c:v>1011.0314848780883</c:v>
                </c:pt>
                <c:pt idx="80">
                  <c:v>1777.9036067748671</c:v>
                </c:pt>
                <c:pt idx="81">
                  <c:v>3465.1519475822624</c:v>
                </c:pt>
                <c:pt idx="82">
                  <c:v>1352.5902365308773</c:v>
                </c:pt>
                <c:pt idx="83">
                  <c:v>979.3769419271905</c:v>
                </c:pt>
              </c:numCache>
            </c:numRef>
          </c:val>
          <c:smooth val="0"/>
          <c:extLst>
            <c:ext xmlns:c16="http://schemas.microsoft.com/office/drawing/2014/chart" uri="{C3380CC4-5D6E-409C-BE32-E72D297353CC}">
              <c16:uniqueId val="{00000000-00B4-451B-AA0B-FC7F410669E7}"/>
            </c:ext>
          </c:extLst>
        </c:ser>
        <c:dLbls>
          <c:showLegendKey val="0"/>
          <c:showVal val="0"/>
          <c:showCatName val="0"/>
          <c:showSerName val="0"/>
          <c:showPercent val="0"/>
          <c:showBubbleSize val="0"/>
        </c:dLbls>
        <c:marker val="1"/>
        <c:smooth val="0"/>
        <c:axId val="1443562976"/>
        <c:axId val="1443560064"/>
      </c:lineChart>
      <c:catAx>
        <c:axId val="1443562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Dates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560064"/>
        <c:crosses val="autoZero"/>
        <c:auto val="1"/>
        <c:lblAlgn val="ctr"/>
        <c:lblOffset val="100"/>
        <c:tickLblSkip val="5"/>
        <c:tickMarkSkip val="5"/>
        <c:noMultiLvlLbl val="0"/>
      </c:catAx>
      <c:valAx>
        <c:axId val="14435600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562976"/>
        <c:crossesAt val="1"/>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project Final.xlsx]Pivot Orders!PivotTable12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latin typeface="Times New Roman" panose="02020603050405020304" pitchFamily="18" charset="0"/>
                <a:cs typeface="Times New Roman" panose="02020603050405020304" pitchFamily="18" charset="0"/>
              </a:rPr>
              <a:t>Revenue by Product</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A6A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A6A6"/>
          </a:solidFill>
          <a:ln w="19050">
            <a:solidFill>
              <a:schemeClr val="lt1"/>
            </a:solidFill>
          </a:ln>
          <a:effectLst/>
        </c:spPr>
      </c:pivotFmt>
      <c:pivotFmt>
        <c:idx val="2"/>
        <c:spPr>
          <a:solidFill>
            <a:srgbClr val="66C7C7"/>
          </a:solidFill>
          <a:ln w="19050">
            <a:solidFill>
              <a:schemeClr val="lt1"/>
            </a:solidFill>
          </a:ln>
          <a:effectLst/>
        </c:spPr>
      </c:pivotFmt>
      <c:pivotFmt>
        <c:idx val="3"/>
        <c:spPr>
          <a:solidFill>
            <a:srgbClr val="5B9BD5"/>
          </a:solidFill>
          <a:ln w="19050">
            <a:solidFill>
              <a:schemeClr val="lt1"/>
            </a:solidFill>
          </a:ln>
          <a:effectLst/>
        </c:spPr>
      </c:pivotFmt>
      <c:pivotFmt>
        <c:idx val="4"/>
        <c:spPr>
          <a:solidFill>
            <a:srgbClr val="F4B942"/>
          </a:solidFill>
          <a:ln w="19050">
            <a:solidFill>
              <a:schemeClr val="lt1"/>
            </a:solidFill>
          </a:ln>
          <a:effectLst/>
        </c:spPr>
      </c:pivotFmt>
      <c:pivotFmt>
        <c:idx val="5"/>
        <c:spPr>
          <a:solidFill>
            <a:srgbClr val="9DC3E6"/>
          </a:solidFill>
          <a:ln w="19050">
            <a:solidFill>
              <a:schemeClr val="lt1"/>
            </a:solidFill>
          </a:ln>
          <a:effectLst/>
        </c:spPr>
      </c:pivotFmt>
      <c:pivotFmt>
        <c:idx val="6"/>
        <c:spPr>
          <a:solidFill>
            <a:srgbClr val="6C91BF"/>
          </a:solidFill>
          <a:ln w="19050">
            <a:solidFill>
              <a:schemeClr val="lt1"/>
            </a:solidFill>
          </a:ln>
          <a:effectLst/>
        </c:spPr>
      </c:pivotFmt>
      <c:pivotFmt>
        <c:idx val="7"/>
        <c:spPr>
          <a:solidFill>
            <a:srgbClr val="00A6A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A6A6"/>
          </a:solidFill>
          <a:ln w="19050">
            <a:solidFill>
              <a:schemeClr val="lt1"/>
            </a:solidFill>
          </a:ln>
          <a:effectLst/>
        </c:spPr>
      </c:pivotFmt>
      <c:pivotFmt>
        <c:idx val="9"/>
        <c:spPr>
          <a:solidFill>
            <a:srgbClr val="66C7C7"/>
          </a:solidFill>
          <a:ln w="19050">
            <a:solidFill>
              <a:schemeClr val="lt1"/>
            </a:solidFill>
          </a:ln>
          <a:effectLst/>
        </c:spPr>
      </c:pivotFmt>
      <c:pivotFmt>
        <c:idx val="10"/>
        <c:spPr>
          <a:solidFill>
            <a:srgbClr val="5B9BD5"/>
          </a:solidFill>
          <a:ln w="19050">
            <a:solidFill>
              <a:schemeClr val="lt1"/>
            </a:solidFill>
          </a:ln>
          <a:effectLst/>
        </c:spPr>
      </c:pivotFmt>
      <c:pivotFmt>
        <c:idx val="11"/>
        <c:spPr>
          <a:solidFill>
            <a:srgbClr val="F4B942"/>
          </a:solidFill>
          <a:ln w="19050">
            <a:solidFill>
              <a:schemeClr val="lt1"/>
            </a:solidFill>
          </a:ln>
          <a:effectLst/>
        </c:spPr>
      </c:pivotFmt>
      <c:pivotFmt>
        <c:idx val="12"/>
        <c:spPr>
          <a:solidFill>
            <a:srgbClr val="9DC3E6"/>
          </a:solidFill>
          <a:ln w="19050">
            <a:solidFill>
              <a:schemeClr val="lt1"/>
            </a:solidFill>
          </a:ln>
          <a:effectLst/>
        </c:spPr>
      </c:pivotFmt>
      <c:pivotFmt>
        <c:idx val="13"/>
        <c:spPr>
          <a:solidFill>
            <a:srgbClr val="6C91BF"/>
          </a:solidFill>
          <a:ln w="19050">
            <a:solidFill>
              <a:schemeClr val="lt1"/>
            </a:solidFill>
          </a:ln>
          <a:effectLst/>
        </c:spPr>
      </c:pivotFmt>
      <c:pivotFmt>
        <c:idx val="14"/>
        <c:spPr>
          <a:solidFill>
            <a:srgbClr val="00A6A6"/>
          </a:solidFill>
          <a:ln w="19050">
            <a:solidFill>
              <a:schemeClr val="lt1"/>
            </a:solid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E76F51"/>
          </a:solidFill>
          <a:ln w="19050">
            <a:solidFill>
              <a:schemeClr val="lt1"/>
            </a:solidFill>
          </a:ln>
          <a:effectLst/>
        </c:spPr>
      </c:pivotFmt>
      <c:pivotFmt>
        <c:idx val="16"/>
        <c:spPr>
          <a:solidFill>
            <a:srgbClr val="F4A261"/>
          </a:solidFill>
          <a:ln w="19050">
            <a:solidFill>
              <a:schemeClr val="lt1"/>
            </a:solidFill>
          </a:ln>
          <a:effectLst/>
        </c:spPr>
      </c:pivotFmt>
      <c:pivotFmt>
        <c:idx val="17"/>
        <c:spPr>
          <a:solidFill>
            <a:srgbClr val="E9C46A"/>
          </a:solidFill>
          <a:ln w="19050">
            <a:solidFill>
              <a:schemeClr val="lt1"/>
            </a:solidFill>
          </a:ln>
          <a:effectLst/>
        </c:spPr>
      </c:pivotFmt>
      <c:pivotFmt>
        <c:idx val="18"/>
        <c:spPr>
          <a:solidFill>
            <a:srgbClr val="F4B942"/>
          </a:solidFill>
          <a:ln w="19050">
            <a:solidFill>
              <a:schemeClr val="lt1"/>
            </a:solidFill>
          </a:ln>
          <a:effectLst/>
        </c:spPr>
      </c:pivotFmt>
      <c:pivotFmt>
        <c:idx val="19"/>
        <c:spPr>
          <a:solidFill>
            <a:srgbClr val="8AB17D"/>
          </a:solidFill>
          <a:ln w="19050">
            <a:solidFill>
              <a:schemeClr val="lt1"/>
            </a:solidFill>
          </a:ln>
          <a:effectLst/>
        </c:spPr>
      </c:pivotFmt>
      <c:pivotFmt>
        <c:idx val="20"/>
        <c:spPr>
          <a:solidFill>
            <a:srgbClr val="6C91BF"/>
          </a:solidFill>
          <a:ln w="19050">
            <a:solidFill>
              <a:schemeClr val="lt1"/>
            </a:solidFill>
          </a:ln>
          <a:effectLst/>
        </c:spPr>
      </c:pivotFmt>
    </c:pivotFmts>
    <c:plotArea>
      <c:layout/>
      <c:barChart>
        <c:barDir val="col"/>
        <c:grouping val="clustered"/>
        <c:varyColors val="0"/>
        <c:ser>
          <c:idx val="0"/>
          <c:order val="0"/>
          <c:tx>
            <c:strRef>
              <c:f>'Pivot Orders'!$B$43</c:f>
              <c:strCache>
                <c:ptCount val="1"/>
                <c:pt idx="0">
                  <c:v>Total</c:v>
                </c:pt>
              </c:strCache>
            </c:strRef>
          </c:tx>
          <c:spPr>
            <a:solidFill>
              <a:srgbClr val="00A6A6"/>
            </a:solidFill>
            <a:ln w="19050">
              <a:solidFill>
                <a:schemeClr val="lt1"/>
              </a:solidFill>
            </a:ln>
            <a:effectLst/>
          </c:spPr>
          <c:invertIfNegative val="0"/>
          <c:dPt>
            <c:idx val="0"/>
            <c:invertIfNegative val="0"/>
            <c:bubble3D val="0"/>
            <c:spPr>
              <a:solidFill>
                <a:srgbClr val="E76F51"/>
              </a:solidFill>
              <a:ln w="19050">
                <a:solidFill>
                  <a:schemeClr val="lt1"/>
                </a:solidFill>
              </a:ln>
              <a:effectLst/>
            </c:spPr>
            <c:extLst>
              <c:ext xmlns:c16="http://schemas.microsoft.com/office/drawing/2014/chart" uri="{C3380CC4-5D6E-409C-BE32-E72D297353CC}">
                <c16:uniqueId val="{00000001-D8B1-48BD-B11C-0ADC77061B79}"/>
              </c:ext>
            </c:extLst>
          </c:dPt>
          <c:dPt>
            <c:idx val="1"/>
            <c:invertIfNegative val="0"/>
            <c:bubble3D val="0"/>
            <c:spPr>
              <a:solidFill>
                <a:srgbClr val="F4A261"/>
              </a:solidFill>
              <a:ln w="19050">
                <a:solidFill>
                  <a:schemeClr val="lt1"/>
                </a:solidFill>
              </a:ln>
              <a:effectLst/>
            </c:spPr>
            <c:extLst>
              <c:ext xmlns:c16="http://schemas.microsoft.com/office/drawing/2014/chart" uri="{C3380CC4-5D6E-409C-BE32-E72D297353CC}">
                <c16:uniqueId val="{00000003-D8B1-48BD-B11C-0ADC77061B79}"/>
              </c:ext>
            </c:extLst>
          </c:dPt>
          <c:dPt>
            <c:idx val="2"/>
            <c:invertIfNegative val="0"/>
            <c:bubble3D val="0"/>
            <c:spPr>
              <a:solidFill>
                <a:srgbClr val="E9C46A"/>
              </a:solidFill>
              <a:ln w="19050">
                <a:solidFill>
                  <a:schemeClr val="lt1"/>
                </a:solidFill>
              </a:ln>
              <a:effectLst/>
            </c:spPr>
            <c:extLst>
              <c:ext xmlns:c16="http://schemas.microsoft.com/office/drawing/2014/chart" uri="{C3380CC4-5D6E-409C-BE32-E72D297353CC}">
                <c16:uniqueId val="{00000005-D8B1-48BD-B11C-0ADC77061B79}"/>
              </c:ext>
            </c:extLst>
          </c:dPt>
          <c:dPt>
            <c:idx val="3"/>
            <c:invertIfNegative val="0"/>
            <c:bubble3D val="0"/>
            <c:spPr>
              <a:solidFill>
                <a:srgbClr val="F4B942"/>
              </a:solidFill>
              <a:ln w="19050">
                <a:solidFill>
                  <a:schemeClr val="lt1"/>
                </a:solidFill>
              </a:ln>
              <a:effectLst/>
            </c:spPr>
            <c:extLst>
              <c:ext xmlns:c16="http://schemas.microsoft.com/office/drawing/2014/chart" uri="{C3380CC4-5D6E-409C-BE32-E72D297353CC}">
                <c16:uniqueId val="{00000007-D8B1-48BD-B11C-0ADC77061B79}"/>
              </c:ext>
            </c:extLst>
          </c:dPt>
          <c:dPt>
            <c:idx val="4"/>
            <c:invertIfNegative val="0"/>
            <c:bubble3D val="0"/>
            <c:spPr>
              <a:solidFill>
                <a:srgbClr val="8AB17D"/>
              </a:solidFill>
              <a:ln w="19050">
                <a:solidFill>
                  <a:schemeClr val="lt1"/>
                </a:solidFill>
              </a:ln>
              <a:effectLst/>
            </c:spPr>
            <c:extLst>
              <c:ext xmlns:c16="http://schemas.microsoft.com/office/drawing/2014/chart" uri="{C3380CC4-5D6E-409C-BE32-E72D297353CC}">
                <c16:uniqueId val="{00000009-D8B1-48BD-B11C-0ADC77061B79}"/>
              </c:ext>
            </c:extLst>
          </c:dPt>
          <c:dPt>
            <c:idx val="5"/>
            <c:invertIfNegative val="0"/>
            <c:bubble3D val="0"/>
            <c:spPr>
              <a:solidFill>
                <a:srgbClr val="6C91BF"/>
              </a:solidFill>
              <a:ln w="19050">
                <a:solidFill>
                  <a:schemeClr val="lt1"/>
                </a:solidFill>
              </a:ln>
              <a:effectLst/>
            </c:spPr>
            <c:extLst>
              <c:ext xmlns:c16="http://schemas.microsoft.com/office/drawing/2014/chart" uri="{C3380CC4-5D6E-409C-BE32-E72D297353CC}">
                <c16:uniqueId val="{0000000B-D8B1-48BD-B11C-0ADC77061B79}"/>
              </c:ext>
            </c:extLst>
          </c:dPt>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Orders'!$A$44:$A$50</c:f>
              <c:strCache>
                <c:ptCount val="6"/>
                <c:pt idx="0">
                  <c:v>Paneer Tikka Pizzabun</c:v>
                </c:pt>
                <c:pt idx="1">
                  <c:v>Medium Crispy Chole Pizzabun</c:v>
                </c:pt>
                <c:pt idx="2">
                  <c:v>Large Paneer Tikka Pizzabun</c:v>
                </c:pt>
                <c:pt idx="3">
                  <c:v>Crispy Chole Pizzabun</c:v>
                </c:pt>
                <c:pt idx="4">
                  <c:v>Minty Pizzabun</c:v>
                </c:pt>
                <c:pt idx="5">
                  <c:v>Aloo Shots Pizzabun</c:v>
                </c:pt>
              </c:strCache>
            </c:strRef>
          </c:cat>
          <c:val>
            <c:numRef>
              <c:f>'Pivot Orders'!$B$44:$B$50</c:f>
              <c:numCache>
                <c:formatCode>General</c:formatCode>
                <c:ptCount val="6"/>
                <c:pt idx="0">
                  <c:v>54467.997683024885</c:v>
                </c:pt>
                <c:pt idx="1">
                  <c:v>52660.322918701393</c:v>
                </c:pt>
                <c:pt idx="2">
                  <c:v>51733.570260946217</c:v>
                </c:pt>
                <c:pt idx="3">
                  <c:v>46517.15508360431</c:v>
                </c:pt>
                <c:pt idx="4">
                  <c:v>22418.778019737776</c:v>
                </c:pt>
                <c:pt idx="5">
                  <c:v>10337.900331466315</c:v>
                </c:pt>
              </c:numCache>
            </c:numRef>
          </c:val>
          <c:extLst>
            <c:ext xmlns:c16="http://schemas.microsoft.com/office/drawing/2014/chart" uri="{C3380CC4-5D6E-409C-BE32-E72D297353CC}">
              <c16:uniqueId val="{0000000C-D8B1-48BD-B11C-0ADC77061B79}"/>
            </c:ext>
          </c:extLst>
        </c:ser>
        <c:dLbls>
          <c:showLegendKey val="0"/>
          <c:showVal val="0"/>
          <c:showCatName val="0"/>
          <c:showSerName val="0"/>
          <c:showPercent val="0"/>
          <c:showBubbleSize val="0"/>
        </c:dLbls>
        <c:gapWidth val="100"/>
        <c:axId val="855239215"/>
        <c:axId val="855244207"/>
      </c:barChart>
      <c:catAx>
        <c:axId val="8552392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Product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44207"/>
        <c:crosses val="autoZero"/>
        <c:auto val="1"/>
        <c:lblAlgn val="ctr"/>
        <c:lblOffset val="100"/>
        <c:noMultiLvlLbl val="0"/>
      </c:catAx>
      <c:valAx>
        <c:axId val="8552442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Revenue Generated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39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project Final.xlsx]Pivot Orders!PivotTable14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a:t>
            </a:r>
            <a:r>
              <a:rPr lang="en-US" baseline="0"/>
              <a:t> s</a:t>
            </a:r>
            <a:r>
              <a:rPr lang="en-US"/>
              <a:t>ales each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4B94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Orders'!$E$27</c:f>
              <c:strCache>
                <c:ptCount val="1"/>
                <c:pt idx="0">
                  <c:v>Total</c:v>
                </c:pt>
              </c:strCache>
            </c:strRef>
          </c:tx>
          <c:spPr>
            <a:ln w="28575" cap="rnd">
              <a:solidFill>
                <a:srgbClr val="F4B942"/>
              </a:solidFill>
              <a:round/>
            </a:ln>
            <a:effectLst/>
          </c:spPr>
          <c:marker>
            <c:symbol val="none"/>
          </c:marker>
          <c:cat>
            <c:multiLvlStrRef>
              <c:f>'Pivot Orders'!$D$28:$D$116</c:f>
              <c:multiLvlStrCache>
                <c:ptCount val="84"/>
                <c:lvl>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lvl>
                <c:lvl>
                  <c:pt idx="0">
                    <c:v>Jun</c:v>
                  </c:pt>
                  <c:pt idx="17">
                    <c:v>Jul</c:v>
                  </c:pt>
                  <c:pt idx="47">
                    <c:v>Aug</c:v>
                  </c:pt>
                  <c:pt idx="78">
                    <c:v>Sep</c:v>
                  </c:pt>
                </c:lvl>
              </c:multiLvlStrCache>
            </c:multiLvlStrRef>
          </c:cat>
          <c:val>
            <c:numRef>
              <c:f>'Pivot Orders'!$E$28:$E$116</c:f>
              <c:numCache>
                <c:formatCode>General</c:formatCode>
                <c:ptCount val="84"/>
                <c:pt idx="0">
                  <c:v>13</c:v>
                </c:pt>
                <c:pt idx="1">
                  <c:v>11</c:v>
                </c:pt>
                <c:pt idx="2">
                  <c:v>18</c:v>
                </c:pt>
                <c:pt idx="3">
                  <c:v>7</c:v>
                </c:pt>
                <c:pt idx="4">
                  <c:v>12</c:v>
                </c:pt>
                <c:pt idx="5">
                  <c:v>6</c:v>
                </c:pt>
                <c:pt idx="6">
                  <c:v>13</c:v>
                </c:pt>
                <c:pt idx="7">
                  <c:v>8</c:v>
                </c:pt>
                <c:pt idx="8">
                  <c:v>7</c:v>
                </c:pt>
                <c:pt idx="9">
                  <c:v>34</c:v>
                </c:pt>
                <c:pt idx="10">
                  <c:v>29</c:v>
                </c:pt>
                <c:pt idx="11">
                  <c:v>13</c:v>
                </c:pt>
                <c:pt idx="12">
                  <c:v>26</c:v>
                </c:pt>
                <c:pt idx="13">
                  <c:v>17</c:v>
                </c:pt>
                <c:pt idx="14">
                  <c:v>11</c:v>
                </c:pt>
                <c:pt idx="15">
                  <c:v>27</c:v>
                </c:pt>
                <c:pt idx="16">
                  <c:v>10</c:v>
                </c:pt>
                <c:pt idx="17">
                  <c:v>10</c:v>
                </c:pt>
                <c:pt idx="18">
                  <c:v>15</c:v>
                </c:pt>
                <c:pt idx="19">
                  <c:v>5</c:v>
                </c:pt>
                <c:pt idx="20">
                  <c:v>16</c:v>
                </c:pt>
                <c:pt idx="21">
                  <c:v>10</c:v>
                </c:pt>
                <c:pt idx="22">
                  <c:v>10</c:v>
                </c:pt>
                <c:pt idx="23">
                  <c:v>10</c:v>
                </c:pt>
                <c:pt idx="24">
                  <c:v>10</c:v>
                </c:pt>
                <c:pt idx="25">
                  <c:v>10</c:v>
                </c:pt>
                <c:pt idx="26">
                  <c:v>15</c:v>
                </c:pt>
                <c:pt idx="27">
                  <c:v>20</c:v>
                </c:pt>
                <c:pt idx="28">
                  <c:v>10</c:v>
                </c:pt>
                <c:pt idx="29">
                  <c:v>26</c:v>
                </c:pt>
                <c:pt idx="30">
                  <c:v>14</c:v>
                </c:pt>
                <c:pt idx="31">
                  <c:v>14</c:v>
                </c:pt>
                <c:pt idx="32">
                  <c:v>7</c:v>
                </c:pt>
                <c:pt idx="33">
                  <c:v>16</c:v>
                </c:pt>
                <c:pt idx="34">
                  <c:v>14</c:v>
                </c:pt>
                <c:pt idx="35">
                  <c:v>12</c:v>
                </c:pt>
                <c:pt idx="36">
                  <c:v>13</c:v>
                </c:pt>
                <c:pt idx="37">
                  <c:v>19</c:v>
                </c:pt>
                <c:pt idx="38">
                  <c:v>16</c:v>
                </c:pt>
                <c:pt idx="39">
                  <c:v>7</c:v>
                </c:pt>
                <c:pt idx="40">
                  <c:v>5</c:v>
                </c:pt>
                <c:pt idx="41">
                  <c:v>3</c:v>
                </c:pt>
                <c:pt idx="42">
                  <c:v>9</c:v>
                </c:pt>
                <c:pt idx="43">
                  <c:v>10</c:v>
                </c:pt>
                <c:pt idx="44">
                  <c:v>4</c:v>
                </c:pt>
                <c:pt idx="45">
                  <c:v>6</c:v>
                </c:pt>
                <c:pt idx="46">
                  <c:v>2</c:v>
                </c:pt>
                <c:pt idx="47">
                  <c:v>8</c:v>
                </c:pt>
                <c:pt idx="48">
                  <c:v>3</c:v>
                </c:pt>
                <c:pt idx="49">
                  <c:v>4</c:v>
                </c:pt>
                <c:pt idx="50">
                  <c:v>4</c:v>
                </c:pt>
                <c:pt idx="51">
                  <c:v>5</c:v>
                </c:pt>
                <c:pt idx="52">
                  <c:v>3</c:v>
                </c:pt>
                <c:pt idx="53">
                  <c:v>3</c:v>
                </c:pt>
                <c:pt idx="54">
                  <c:v>2</c:v>
                </c:pt>
                <c:pt idx="55">
                  <c:v>8</c:v>
                </c:pt>
                <c:pt idx="56">
                  <c:v>3</c:v>
                </c:pt>
                <c:pt idx="57">
                  <c:v>3</c:v>
                </c:pt>
                <c:pt idx="58">
                  <c:v>6</c:v>
                </c:pt>
                <c:pt idx="59">
                  <c:v>3</c:v>
                </c:pt>
                <c:pt idx="60">
                  <c:v>6</c:v>
                </c:pt>
                <c:pt idx="61">
                  <c:v>5</c:v>
                </c:pt>
                <c:pt idx="62">
                  <c:v>5</c:v>
                </c:pt>
                <c:pt idx="63">
                  <c:v>6</c:v>
                </c:pt>
                <c:pt idx="64">
                  <c:v>7</c:v>
                </c:pt>
                <c:pt idx="65">
                  <c:v>4</c:v>
                </c:pt>
                <c:pt idx="66">
                  <c:v>8</c:v>
                </c:pt>
                <c:pt idx="67">
                  <c:v>7</c:v>
                </c:pt>
                <c:pt idx="68">
                  <c:v>6</c:v>
                </c:pt>
                <c:pt idx="69">
                  <c:v>6</c:v>
                </c:pt>
                <c:pt idx="70">
                  <c:v>4</c:v>
                </c:pt>
                <c:pt idx="71">
                  <c:v>5</c:v>
                </c:pt>
                <c:pt idx="72">
                  <c:v>9</c:v>
                </c:pt>
                <c:pt idx="73">
                  <c:v>10</c:v>
                </c:pt>
                <c:pt idx="74">
                  <c:v>6</c:v>
                </c:pt>
                <c:pt idx="75">
                  <c:v>7</c:v>
                </c:pt>
                <c:pt idx="76">
                  <c:v>5</c:v>
                </c:pt>
                <c:pt idx="77">
                  <c:v>1</c:v>
                </c:pt>
                <c:pt idx="78">
                  <c:v>2</c:v>
                </c:pt>
                <c:pt idx="79">
                  <c:v>4</c:v>
                </c:pt>
                <c:pt idx="80">
                  <c:v>6</c:v>
                </c:pt>
                <c:pt idx="81">
                  <c:v>9</c:v>
                </c:pt>
                <c:pt idx="82">
                  <c:v>6</c:v>
                </c:pt>
                <c:pt idx="83">
                  <c:v>5</c:v>
                </c:pt>
              </c:numCache>
            </c:numRef>
          </c:val>
          <c:smooth val="0"/>
          <c:extLst>
            <c:ext xmlns:c16="http://schemas.microsoft.com/office/drawing/2014/chart" uri="{C3380CC4-5D6E-409C-BE32-E72D297353CC}">
              <c16:uniqueId val="{00000000-4B1D-4F0C-8D33-034D846B8AF2}"/>
            </c:ext>
          </c:extLst>
        </c:ser>
        <c:dLbls>
          <c:showLegendKey val="0"/>
          <c:showVal val="0"/>
          <c:showCatName val="0"/>
          <c:showSerName val="0"/>
          <c:showPercent val="0"/>
          <c:showBubbleSize val="0"/>
        </c:dLbls>
        <c:smooth val="0"/>
        <c:axId val="1933074944"/>
        <c:axId val="1933092000"/>
      </c:lineChart>
      <c:catAx>
        <c:axId val="193307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092000"/>
        <c:crosses val="autoZero"/>
        <c:auto val="1"/>
        <c:lblAlgn val="ctr"/>
        <c:lblOffset val="100"/>
        <c:noMultiLvlLbl val="0"/>
      </c:catAx>
      <c:valAx>
        <c:axId val="1933092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07494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project Final.xlsx]Pivot Orders!PivotTable15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generated each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0A6A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Orders'!$I$27</c:f>
              <c:strCache>
                <c:ptCount val="1"/>
                <c:pt idx="0">
                  <c:v>Total</c:v>
                </c:pt>
              </c:strCache>
            </c:strRef>
          </c:tx>
          <c:spPr>
            <a:ln w="28575" cap="rnd">
              <a:solidFill>
                <a:srgbClr val="00A6A6"/>
              </a:solidFill>
              <a:round/>
            </a:ln>
            <a:effectLst/>
          </c:spPr>
          <c:marker>
            <c:symbol val="none"/>
          </c:marker>
          <c:cat>
            <c:multiLvlStrRef>
              <c:f>'Pivot Orders'!$H$28:$H$116</c:f>
              <c:multiLvlStrCache>
                <c:ptCount val="84"/>
                <c:lvl>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lvl>
                <c:lvl>
                  <c:pt idx="0">
                    <c:v>Jun</c:v>
                  </c:pt>
                  <c:pt idx="17">
                    <c:v>Jul</c:v>
                  </c:pt>
                  <c:pt idx="47">
                    <c:v>Aug</c:v>
                  </c:pt>
                  <c:pt idx="78">
                    <c:v>Sep</c:v>
                  </c:pt>
                </c:lvl>
              </c:multiLvlStrCache>
            </c:multiLvlStrRef>
          </c:cat>
          <c:val>
            <c:numRef>
              <c:f>'Pivot Orders'!$I$28:$I$116</c:f>
              <c:numCache>
                <c:formatCode>General</c:formatCode>
                <c:ptCount val="84"/>
                <c:pt idx="0">
                  <c:v>5439.1721348153042</c:v>
                </c:pt>
                <c:pt idx="1">
                  <c:v>2862.8652162816184</c:v>
                </c:pt>
                <c:pt idx="2">
                  <c:v>5906.9389240762412</c:v>
                </c:pt>
                <c:pt idx="3">
                  <c:v>2262.648955632154</c:v>
                </c:pt>
                <c:pt idx="4">
                  <c:v>4835.1791960674072</c:v>
                </c:pt>
                <c:pt idx="5">
                  <c:v>2615.6483628438014</c:v>
                </c:pt>
                <c:pt idx="6">
                  <c:v>4540.5423351476784</c:v>
                </c:pt>
                <c:pt idx="7">
                  <c:v>2780.8039628850556</c:v>
                </c:pt>
                <c:pt idx="8">
                  <c:v>1950.629344931916</c:v>
                </c:pt>
                <c:pt idx="9">
                  <c:v>12605.560938878396</c:v>
                </c:pt>
                <c:pt idx="10">
                  <c:v>7335.4444931867774</c:v>
                </c:pt>
                <c:pt idx="11">
                  <c:v>3495.4029738534414</c:v>
                </c:pt>
                <c:pt idx="12">
                  <c:v>8250.8928588774379</c:v>
                </c:pt>
                <c:pt idx="13">
                  <c:v>7421.9280922972539</c:v>
                </c:pt>
                <c:pt idx="14">
                  <c:v>3527.1096482626508</c:v>
                </c:pt>
                <c:pt idx="15">
                  <c:v>6913.9259049996026</c:v>
                </c:pt>
                <c:pt idx="16">
                  <c:v>2460.5562200009895</c:v>
                </c:pt>
                <c:pt idx="17">
                  <c:v>2406.9612901549385</c:v>
                </c:pt>
                <c:pt idx="18">
                  <c:v>3632.2560979635891</c:v>
                </c:pt>
                <c:pt idx="19">
                  <c:v>1890.337000256882</c:v>
                </c:pt>
                <c:pt idx="20">
                  <c:v>3364.6256302957695</c:v>
                </c:pt>
                <c:pt idx="21">
                  <c:v>3309.3691955590125</c:v>
                </c:pt>
                <c:pt idx="22">
                  <c:v>3382.6607002274313</c:v>
                </c:pt>
                <c:pt idx="23">
                  <c:v>3319.4736889450387</c:v>
                </c:pt>
                <c:pt idx="24">
                  <c:v>4019.8845508165509</c:v>
                </c:pt>
                <c:pt idx="25">
                  <c:v>2916.5297182926402</c:v>
                </c:pt>
                <c:pt idx="26">
                  <c:v>4123.7653307741248</c:v>
                </c:pt>
                <c:pt idx="27">
                  <c:v>7739.4237002842756</c:v>
                </c:pt>
                <c:pt idx="28">
                  <c:v>2435.7501030220901</c:v>
                </c:pt>
                <c:pt idx="29">
                  <c:v>6912.2680197309965</c:v>
                </c:pt>
                <c:pt idx="30">
                  <c:v>4017.6333719583467</c:v>
                </c:pt>
                <c:pt idx="31">
                  <c:v>4705.0808795702387</c:v>
                </c:pt>
                <c:pt idx="32">
                  <c:v>1362.0589101110288</c:v>
                </c:pt>
                <c:pt idx="33">
                  <c:v>3988.7090731787348</c:v>
                </c:pt>
                <c:pt idx="34">
                  <c:v>4790.322854904678</c:v>
                </c:pt>
                <c:pt idx="35">
                  <c:v>4394.185024933593</c:v>
                </c:pt>
                <c:pt idx="36">
                  <c:v>4281.6990494207994</c:v>
                </c:pt>
                <c:pt idx="37">
                  <c:v>4226.6503935231249</c:v>
                </c:pt>
                <c:pt idx="38">
                  <c:v>4023.7775920600975</c:v>
                </c:pt>
                <c:pt idx="39">
                  <c:v>3284.8660618866447</c:v>
                </c:pt>
                <c:pt idx="40">
                  <c:v>1821.1933255634283</c:v>
                </c:pt>
                <c:pt idx="41">
                  <c:v>611.04009870076243</c:v>
                </c:pt>
                <c:pt idx="42">
                  <c:v>3236.7207200765088</c:v>
                </c:pt>
                <c:pt idx="43">
                  <c:v>4062.8751366663228</c:v>
                </c:pt>
                <c:pt idx="44">
                  <c:v>1548.4516668512724</c:v>
                </c:pt>
                <c:pt idx="45">
                  <c:v>1240.6226119388657</c:v>
                </c:pt>
                <c:pt idx="46">
                  <c:v>254.8990159132675</c:v>
                </c:pt>
                <c:pt idx="47">
                  <c:v>2340.3173842244232</c:v>
                </c:pt>
                <c:pt idx="48">
                  <c:v>1000.3728696142152</c:v>
                </c:pt>
                <c:pt idx="49">
                  <c:v>1221.134032936166</c:v>
                </c:pt>
                <c:pt idx="50">
                  <c:v>864.40150273421318</c:v>
                </c:pt>
                <c:pt idx="51">
                  <c:v>1341.8418743727193</c:v>
                </c:pt>
                <c:pt idx="52">
                  <c:v>542.35227102668716</c:v>
                </c:pt>
                <c:pt idx="53">
                  <c:v>493.63002497103543</c:v>
                </c:pt>
                <c:pt idx="54">
                  <c:v>1107.7583865078568</c:v>
                </c:pt>
                <c:pt idx="55">
                  <c:v>1383.3067467457795</c:v>
                </c:pt>
                <c:pt idx="56">
                  <c:v>487.3814038218502</c:v>
                </c:pt>
                <c:pt idx="57">
                  <c:v>921.38334818749308</c:v>
                </c:pt>
                <c:pt idx="58">
                  <c:v>1562.6435678066302</c:v>
                </c:pt>
                <c:pt idx="59">
                  <c:v>201.20690859545056</c:v>
                </c:pt>
                <c:pt idx="60">
                  <c:v>1511.6514211202721</c:v>
                </c:pt>
                <c:pt idx="61">
                  <c:v>1552.4008717702218</c:v>
                </c:pt>
                <c:pt idx="62">
                  <c:v>759.97152571630545</c:v>
                </c:pt>
                <c:pt idx="63">
                  <c:v>1799.8644136913069</c:v>
                </c:pt>
                <c:pt idx="64">
                  <c:v>1750.1486233005423</c:v>
                </c:pt>
                <c:pt idx="65">
                  <c:v>462.91340456913832</c:v>
                </c:pt>
                <c:pt idx="66">
                  <c:v>2322.1049538631833</c:v>
                </c:pt>
                <c:pt idx="67">
                  <c:v>2040.7311840557782</c:v>
                </c:pt>
                <c:pt idx="68">
                  <c:v>2440.5276784169728</c:v>
                </c:pt>
                <c:pt idx="69">
                  <c:v>783.84620276440148</c:v>
                </c:pt>
                <c:pt idx="70">
                  <c:v>1257.1297079410622</c:v>
                </c:pt>
                <c:pt idx="71">
                  <c:v>1270.9766632294888</c:v>
                </c:pt>
                <c:pt idx="72">
                  <c:v>3265.7987918479243</c:v>
                </c:pt>
                <c:pt idx="73">
                  <c:v>2833.6508209998801</c:v>
                </c:pt>
                <c:pt idx="74">
                  <c:v>1147.2077936235114</c:v>
                </c:pt>
                <c:pt idx="75">
                  <c:v>1831.3515850872427</c:v>
                </c:pt>
                <c:pt idx="76">
                  <c:v>1854.6297536246789</c:v>
                </c:pt>
                <c:pt idx="77">
                  <c:v>484.2301650749543</c:v>
                </c:pt>
                <c:pt idx="78">
                  <c:v>203.46382092739609</c:v>
                </c:pt>
                <c:pt idx="79">
                  <c:v>1011.0314848780883</c:v>
                </c:pt>
                <c:pt idx="80">
                  <c:v>1777.9036067748671</c:v>
                </c:pt>
                <c:pt idx="81">
                  <c:v>3465.1519475822624</c:v>
                </c:pt>
                <c:pt idx="82">
                  <c:v>1352.5902365308773</c:v>
                </c:pt>
                <c:pt idx="83">
                  <c:v>979.3769419271905</c:v>
                </c:pt>
              </c:numCache>
            </c:numRef>
          </c:val>
          <c:smooth val="0"/>
          <c:extLst>
            <c:ext xmlns:c16="http://schemas.microsoft.com/office/drawing/2014/chart" uri="{C3380CC4-5D6E-409C-BE32-E72D297353CC}">
              <c16:uniqueId val="{00000000-3AB7-407E-B77A-CC2221277B0B}"/>
            </c:ext>
          </c:extLst>
        </c:ser>
        <c:dLbls>
          <c:showLegendKey val="0"/>
          <c:showVal val="0"/>
          <c:showCatName val="0"/>
          <c:showSerName val="0"/>
          <c:showPercent val="0"/>
          <c:showBubbleSize val="0"/>
        </c:dLbls>
        <c:smooth val="0"/>
        <c:axId val="1443562976"/>
        <c:axId val="1443560064"/>
      </c:lineChart>
      <c:catAx>
        <c:axId val="144356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560064"/>
        <c:crosses val="autoZero"/>
        <c:auto val="1"/>
        <c:lblAlgn val="ctr"/>
        <c:lblOffset val="100"/>
        <c:noMultiLvlLbl val="0"/>
      </c:catAx>
      <c:valAx>
        <c:axId val="144356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562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project Final.xlsx]Pivot Orders!PivotTable12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generated</a:t>
            </a:r>
            <a:r>
              <a:rPr lang="en-US" baseline="0"/>
              <a:t> by each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A6A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A6A6"/>
          </a:solidFill>
          <a:ln w="19050">
            <a:solidFill>
              <a:schemeClr val="lt1"/>
            </a:solidFill>
          </a:ln>
          <a:effectLst/>
        </c:spPr>
      </c:pivotFmt>
      <c:pivotFmt>
        <c:idx val="2"/>
        <c:spPr>
          <a:solidFill>
            <a:srgbClr val="66C7C7"/>
          </a:solidFill>
          <a:ln w="19050">
            <a:solidFill>
              <a:schemeClr val="lt1"/>
            </a:solidFill>
          </a:ln>
          <a:effectLst/>
        </c:spPr>
      </c:pivotFmt>
      <c:pivotFmt>
        <c:idx val="3"/>
        <c:spPr>
          <a:solidFill>
            <a:srgbClr val="5B9BD5"/>
          </a:solidFill>
          <a:ln w="19050">
            <a:solidFill>
              <a:schemeClr val="lt1"/>
            </a:solidFill>
          </a:ln>
          <a:effectLst/>
        </c:spPr>
      </c:pivotFmt>
      <c:pivotFmt>
        <c:idx val="4"/>
        <c:spPr>
          <a:solidFill>
            <a:srgbClr val="F4B942"/>
          </a:solidFill>
          <a:ln w="19050">
            <a:solidFill>
              <a:schemeClr val="lt1"/>
            </a:solidFill>
          </a:ln>
          <a:effectLst/>
        </c:spPr>
      </c:pivotFmt>
      <c:pivotFmt>
        <c:idx val="5"/>
        <c:spPr>
          <a:solidFill>
            <a:srgbClr val="9DC3E6"/>
          </a:solidFill>
          <a:ln w="19050">
            <a:solidFill>
              <a:schemeClr val="lt1"/>
            </a:solidFill>
          </a:ln>
          <a:effectLst/>
        </c:spPr>
      </c:pivotFmt>
      <c:pivotFmt>
        <c:idx val="6"/>
        <c:spPr>
          <a:solidFill>
            <a:srgbClr val="6C91BF"/>
          </a:solidFill>
          <a:ln w="19050">
            <a:solidFill>
              <a:schemeClr val="lt1"/>
            </a:solidFill>
          </a:ln>
          <a:effectLst/>
        </c:spPr>
      </c:pivotFmt>
    </c:pivotFmts>
    <c:plotArea>
      <c:layout/>
      <c:pieChart>
        <c:varyColors val="1"/>
        <c:ser>
          <c:idx val="0"/>
          <c:order val="0"/>
          <c:tx>
            <c:strRef>
              <c:f>'Pivot Orders'!$B$43</c:f>
              <c:strCache>
                <c:ptCount val="1"/>
                <c:pt idx="0">
                  <c:v>Total</c:v>
                </c:pt>
              </c:strCache>
            </c:strRef>
          </c:tx>
          <c:spPr>
            <a:solidFill>
              <a:srgbClr val="00A6A6"/>
            </a:solidFill>
          </c:spPr>
          <c:dPt>
            <c:idx val="0"/>
            <c:bubble3D val="0"/>
            <c:spPr>
              <a:solidFill>
                <a:srgbClr val="00A6A6"/>
              </a:solidFill>
              <a:ln w="19050">
                <a:solidFill>
                  <a:schemeClr val="lt1"/>
                </a:solidFill>
              </a:ln>
              <a:effectLst/>
            </c:spPr>
            <c:extLst>
              <c:ext xmlns:c16="http://schemas.microsoft.com/office/drawing/2014/chart" uri="{C3380CC4-5D6E-409C-BE32-E72D297353CC}">
                <c16:uniqueId val="{00000002-7FDA-4958-B21D-C81C3866D285}"/>
              </c:ext>
            </c:extLst>
          </c:dPt>
          <c:dPt>
            <c:idx val="1"/>
            <c:bubble3D val="0"/>
            <c:spPr>
              <a:solidFill>
                <a:srgbClr val="66C7C7"/>
              </a:solidFill>
              <a:ln w="19050">
                <a:solidFill>
                  <a:schemeClr val="lt1"/>
                </a:solidFill>
              </a:ln>
              <a:effectLst/>
            </c:spPr>
            <c:extLst>
              <c:ext xmlns:c16="http://schemas.microsoft.com/office/drawing/2014/chart" uri="{C3380CC4-5D6E-409C-BE32-E72D297353CC}">
                <c16:uniqueId val="{00000003-7FDA-4958-B21D-C81C3866D285}"/>
              </c:ext>
            </c:extLst>
          </c:dPt>
          <c:dPt>
            <c:idx val="2"/>
            <c:bubble3D val="0"/>
            <c:spPr>
              <a:solidFill>
                <a:srgbClr val="5B9BD5"/>
              </a:solidFill>
              <a:ln w="19050">
                <a:solidFill>
                  <a:schemeClr val="lt1"/>
                </a:solidFill>
              </a:ln>
              <a:effectLst/>
            </c:spPr>
            <c:extLst>
              <c:ext xmlns:c16="http://schemas.microsoft.com/office/drawing/2014/chart" uri="{C3380CC4-5D6E-409C-BE32-E72D297353CC}">
                <c16:uniqueId val="{00000004-7FDA-4958-B21D-C81C3866D285}"/>
              </c:ext>
            </c:extLst>
          </c:dPt>
          <c:dPt>
            <c:idx val="3"/>
            <c:bubble3D val="0"/>
            <c:spPr>
              <a:solidFill>
                <a:srgbClr val="F4B942"/>
              </a:solidFill>
              <a:ln w="19050">
                <a:solidFill>
                  <a:schemeClr val="lt1"/>
                </a:solidFill>
              </a:ln>
              <a:effectLst/>
            </c:spPr>
            <c:extLst>
              <c:ext xmlns:c16="http://schemas.microsoft.com/office/drawing/2014/chart" uri="{C3380CC4-5D6E-409C-BE32-E72D297353CC}">
                <c16:uniqueId val="{00000005-7FDA-4958-B21D-C81C3866D285}"/>
              </c:ext>
            </c:extLst>
          </c:dPt>
          <c:dPt>
            <c:idx val="4"/>
            <c:bubble3D val="0"/>
            <c:spPr>
              <a:solidFill>
                <a:srgbClr val="9DC3E6"/>
              </a:solidFill>
              <a:ln w="19050">
                <a:solidFill>
                  <a:schemeClr val="lt1"/>
                </a:solidFill>
              </a:ln>
              <a:effectLst/>
            </c:spPr>
            <c:extLst>
              <c:ext xmlns:c16="http://schemas.microsoft.com/office/drawing/2014/chart" uri="{C3380CC4-5D6E-409C-BE32-E72D297353CC}">
                <c16:uniqueId val="{00000006-7FDA-4958-B21D-C81C3866D285}"/>
              </c:ext>
            </c:extLst>
          </c:dPt>
          <c:dPt>
            <c:idx val="5"/>
            <c:bubble3D val="0"/>
            <c:spPr>
              <a:solidFill>
                <a:srgbClr val="6C91BF"/>
              </a:solidFill>
              <a:ln w="19050">
                <a:solidFill>
                  <a:schemeClr val="lt1"/>
                </a:solidFill>
              </a:ln>
              <a:effectLst/>
            </c:spPr>
            <c:extLst>
              <c:ext xmlns:c16="http://schemas.microsoft.com/office/drawing/2014/chart" uri="{C3380CC4-5D6E-409C-BE32-E72D297353CC}">
                <c16:uniqueId val="{00000007-7FDA-4958-B21D-C81C3866D285}"/>
              </c:ext>
            </c:extLst>
          </c:dPt>
          <c:cat>
            <c:strRef>
              <c:f>'Pivot Orders'!$A$44:$A$50</c:f>
              <c:strCache>
                <c:ptCount val="6"/>
                <c:pt idx="0">
                  <c:v>Paneer Tikka Pizzabun</c:v>
                </c:pt>
                <c:pt idx="1">
                  <c:v>Medium Crispy Chole Pizzabun</c:v>
                </c:pt>
                <c:pt idx="2">
                  <c:v>Large Paneer Tikka Pizzabun</c:v>
                </c:pt>
                <c:pt idx="3">
                  <c:v>Crispy Chole Pizzabun</c:v>
                </c:pt>
                <c:pt idx="4">
                  <c:v>Minty Pizzabun</c:v>
                </c:pt>
                <c:pt idx="5">
                  <c:v>Aloo Shots Pizzabun</c:v>
                </c:pt>
              </c:strCache>
            </c:strRef>
          </c:cat>
          <c:val>
            <c:numRef>
              <c:f>'Pivot Orders'!$B$44:$B$50</c:f>
              <c:numCache>
                <c:formatCode>General</c:formatCode>
                <c:ptCount val="6"/>
                <c:pt idx="0">
                  <c:v>54467.997683024885</c:v>
                </c:pt>
                <c:pt idx="1">
                  <c:v>52660.322918701393</c:v>
                </c:pt>
                <c:pt idx="2">
                  <c:v>51733.570260946217</c:v>
                </c:pt>
                <c:pt idx="3">
                  <c:v>46517.15508360431</c:v>
                </c:pt>
                <c:pt idx="4">
                  <c:v>22418.778019737776</c:v>
                </c:pt>
                <c:pt idx="5">
                  <c:v>10337.900331466315</c:v>
                </c:pt>
              </c:numCache>
            </c:numRef>
          </c:val>
          <c:extLst>
            <c:ext xmlns:c16="http://schemas.microsoft.com/office/drawing/2014/chart" uri="{C3380CC4-5D6E-409C-BE32-E72D297353CC}">
              <c16:uniqueId val="{00000000-7FDA-4958-B21D-C81C3866D28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4722222222222225"/>
          <c:y val="0.2507848498104403"/>
          <c:w val="0.33611111111111114"/>
          <c:h val="0.645974409448819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206829</xdr:colOff>
      <xdr:row>8</xdr:row>
      <xdr:rowOff>83372</xdr:rowOff>
    </xdr:from>
    <xdr:to>
      <xdr:col>9</xdr:col>
      <xdr:colOff>335537</xdr:colOff>
      <xdr:row>23</xdr:row>
      <xdr:rowOff>119743</xdr:rowOff>
    </xdr:to>
    <xdr:graphicFrame macro="">
      <xdr:nvGraphicFramePr>
        <xdr:cNvPr id="7" name="Chart 6">
          <a:extLst>
            <a:ext uri="{FF2B5EF4-FFF2-40B4-BE49-F238E27FC236}">
              <a16:creationId xmlns:a16="http://schemas.microsoft.com/office/drawing/2014/main" id="{A50B3F67-15A9-459D-8C3C-9439F4884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469190</xdr:colOff>
      <xdr:row>8</xdr:row>
      <xdr:rowOff>91550</xdr:rowOff>
    </xdr:from>
    <xdr:to>
      <xdr:col>18</xdr:col>
      <xdr:colOff>304800</xdr:colOff>
      <xdr:row>23</xdr:row>
      <xdr:rowOff>130628</xdr:rowOff>
    </xdr:to>
    <xdr:graphicFrame macro="">
      <xdr:nvGraphicFramePr>
        <xdr:cNvPr id="8" name="Chart 7">
          <a:extLst>
            <a:ext uri="{FF2B5EF4-FFF2-40B4-BE49-F238E27FC236}">
              <a16:creationId xmlns:a16="http://schemas.microsoft.com/office/drawing/2014/main" id="{90AD6584-ED29-40EE-90A9-E2377F56D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455598</xdr:colOff>
      <xdr:row>24</xdr:row>
      <xdr:rowOff>31536</xdr:rowOff>
    </xdr:from>
    <xdr:to>
      <xdr:col>18</xdr:col>
      <xdr:colOff>326571</xdr:colOff>
      <xdr:row>39</xdr:row>
      <xdr:rowOff>185056</xdr:rowOff>
    </xdr:to>
    <xdr:graphicFrame macro="">
      <xdr:nvGraphicFramePr>
        <xdr:cNvPr id="9" name="Chart 8">
          <a:extLst>
            <a:ext uri="{FF2B5EF4-FFF2-40B4-BE49-F238E27FC236}">
              <a16:creationId xmlns:a16="http://schemas.microsoft.com/office/drawing/2014/main" id="{AF01C476-C233-41CE-917D-1AA7365CC7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172249</xdr:colOff>
      <xdr:row>24</xdr:row>
      <xdr:rowOff>52746</xdr:rowOff>
    </xdr:from>
    <xdr:to>
      <xdr:col>9</xdr:col>
      <xdr:colOff>315685</xdr:colOff>
      <xdr:row>40</xdr:row>
      <xdr:rowOff>5121</xdr:rowOff>
    </xdr:to>
    <xdr:graphicFrame macro="">
      <xdr:nvGraphicFramePr>
        <xdr:cNvPr id="10" name="Chart 9">
          <a:extLst>
            <a:ext uri="{FF2B5EF4-FFF2-40B4-BE49-F238E27FC236}">
              <a16:creationId xmlns:a16="http://schemas.microsoft.com/office/drawing/2014/main" id="{93FD9027-7058-4D87-9436-B9A52FEE1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182053</xdr:colOff>
      <xdr:row>1</xdr:row>
      <xdr:rowOff>125508</xdr:rowOff>
    </xdr:from>
    <xdr:to>
      <xdr:col>6</xdr:col>
      <xdr:colOff>189673</xdr:colOff>
      <xdr:row>8</xdr:row>
      <xdr:rowOff>5829</xdr:rowOff>
    </xdr:to>
    <xdr:sp macro="" textlink="'Pivot Orders'!E7">
      <xdr:nvSpPr>
        <xdr:cNvPr id="11" name="Rectangle: Rounded Corners 10">
          <a:extLst>
            <a:ext uri="{FF2B5EF4-FFF2-40B4-BE49-F238E27FC236}">
              <a16:creationId xmlns:a16="http://schemas.microsoft.com/office/drawing/2014/main" id="{8BD4E677-DAD1-4288-B756-16C3926A9007}"/>
            </a:ext>
          </a:extLst>
        </xdr:cNvPr>
        <xdr:cNvSpPr/>
      </xdr:nvSpPr>
      <xdr:spPr>
        <a:xfrm>
          <a:off x="2010853" y="488923"/>
          <a:ext cx="1836420" cy="1193306"/>
        </a:xfrm>
        <a:prstGeom prst="roundRect">
          <a:avLst/>
        </a:prstGeom>
        <a:solidFill>
          <a:srgbClr val="D9EAF7"/>
        </a:solidFill>
        <a:ln>
          <a:solidFill>
            <a:srgbClr val="D9EAF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0" i="0" u="none" strike="noStrike">
            <a:solidFill>
              <a:srgbClr val="000000"/>
            </a:solidFill>
            <a:latin typeface="Times New Roman" panose="02020603050405020304" pitchFamily="18" charset="0"/>
            <a:ea typeface="Calibri"/>
            <a:cs typeface="Times New Roman" panose="02020603050405020304" pitchFamily="18" charset="0"/>
          </a:endParaRPr>
        </a:p>
        <a:p>
          <a:pPr algn="ctr"/>
          <a:fld id="{D35FBD36-AD6D-45EF-87D9-44A35E29482F}" type="TxLink">
            <a:rPr lang="en-US" sz="2000" b="0" i="0" u="none" strike="noStrike">
              <a:solidFill>
                <a:srgbClr val="000000"/>
              </a:solidFill>
              <a:latin typeface="Times New Roman" panose="02020603050405020304" pitchFamily="18" charset="0"/>
              <a:ea typeface="Calibri"/>
              <a:cs typeface="Times New Roman" panose="02020603050405020304" pitchFamily="18" charset="0"/>
            </a:rPr>
            <a:pPr algn="ctr"/>
            <a:t>794</a:t>
          </a:fld>
          <a:endParaRPr lang="en-US" sz="2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246247</xdr:colOff>
      <xdr:row>1</xdr:row>
      <xdr:rowOff>116541</xdr:rowOff>
    </xdr:from>
    <xdr:to>
      <xdr:col>7</xdr:col>
      <xdr:colOff>1474447</xdr:colOff>
      <xdr:row>7</xdr:row>
      <xdr:rowOff>176156</xdr:rowOff>
    </xdr:to>
    <xdr:sp macro="" textlink="'Pivot Orders'!F7">
      <xdr:nvSpPr>
        <xdr:cNvPr id="12" name="Rectangle: Rounded Corners 11">
          <a:extLst>
            <a:ext uri="{FF2B5EF4-FFF2-40B4-BE49-F238E27FC236}">
              <a16:creationId xmlns:a16="http://schemas.microsoft.com/office/drawing/2014/main" id="{C66428CA-F006-4267-BCF6-E09826C0BABA}"/>
            </a:ext>
          </a:extLst>
        </xdr:cNvPr>
        <xdr:cNvSpPr/>
      </xdr:nvSpPr>
      <xdr:spPr>
        <a:xfrm>
          <a:off x="3903847" y="476759"/>
          <a:ext cx="1837800" cy="1140270"/>
        </a:xfrm>
        <a:prstGeom prst="roundRect">
          <a:avLst/>
        </a:prstGeom>
        <a:solidFill>
          <a:srgbClr val="D9EAF7"/>
        </a:solidFill>
        <a:ln>
          <a:solidFill>
            <a:srgbClr val="D9EAF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0" i="0" u="none" strike="noStrike">
            <a:solidFill>
              <a:srgbClr val="000000"/>
            </a:solidFill>
            <a:latin typeface="Times New Roman" panose="02020603050405020304" pitchFamily="18" charset="0"/>
            <a:ea typeface="Calibri"/>
            <a:cs typeface="Times New Roman" panose="02020603050405020304" pitchFamily="18" charset="0"/>
          </a:endParaRPr>
        </a:p>
        <a:p>
          <a:pPr algn="ctr"/>
          <a:r>
            <a:rPr lang="en-US" sz="2000" b="0" i="0" u="none" strike="noStrike">
              <a:solidFill>
                <a:srgbClr val="000000"/>
              </a:solidFill>
              <a:latin typeface="Times New Roman" panose="02020603050405020304" pitchFamily="18" charset="0"/>
              <a:ea typeface="Calibri"/>
              <a:cs typeface="Times New Roman" panose="02020603050405020304" pitchFamily="18" charset="0"/>
            </a:rPr>
            <a:t>₹</a:t>
          </a:r>
          <a:fld id="{06874BB6-264A-466E-ACE3-A04B566D203B}" type="TxLink">
            <a:rPr lang="en-US" sz="2000" b="0" i="0" u="none" strike="noStrike">
              <a:solidFill>
                <a:srgbClr val="000000"/>
              </a:solidFill>
              <a:latin typeface="Times New Roman" panose="02020603050405020304" pitchFamily="18" charset="0"/>
              <a:ea typeface="Calibri"/>
              <a:cs typeface="Times New Roman" panose="02020603050405020304" pitchFamily="18" charset="0"/>
            </a:rPr>
            <a:t>238136</a:t>
          </a:fld>
          <a:endParaRPr lang="en-US" sz="2000">
            <a:latin typeface="Times New Roman" panose="02020603050405020304" pitchFamily="18" charset="0"/>
            <a:cs typeface="Times New Roman" panose="02020603050405020304" pitchFamily="18" charset="0"/>
          </a:endParaRPr>
        </a:p>
      </xdr:txBody>
    </xdr:sp>
    <xdr:clientData/>
  </xdr:twoCellAnchor>
  <xdr:twoCellAnchor>
    <xdr:from>
      <xdr:col>7</xdr:col>
      <xdr:colOff>1541865</xdr:colOff>
      <xdr:row>1</xdr:row>
      <xdr:rowOff>113157</xdr:rowOff>
    </xdr:from>
    <xdr:to>
      <xdr:col>9</xdr:col>
      <xdr:colOff>553023</xdr:colOff>
      <xdr:row>8</xdr:row>
      <xdr:rowOff>938</xdr:rowOff>
    </xdr:to>
    <xdr:sp macro="" textlink="'Pivot Orders'!G7">
      <xdr:nvSpPr>
        <xdr:cNvPr id="13" name="Rectangle: Rounded Corners 12">
          <a:extLst>
            <a:ext uri="{FF2B5EF4-FFF2-40B4-BE49-F238E27FC236}">
              <a16:creationId xmlns:a16="http://schemas.microsoft.com/office/drawing/2014/main" id="{51DE4F60-A2F4-4AEB-A565-0E28BBADC28E}"/>
            </a:ext>
          </a:extLst>
        </xdr:cNvPr>
        <xdr:cNvSpPr/>
      </xdr:nvSpPr>
      <xdr:spPr>
        <a:xfrm>
          <a:off x="5809065" y="473375"/>
          <a:ext cx="1837485" cy="1148545"/>
        </a:xfrm>
        <a:prstGeom prst="roundRect">
          <a:avLst/>
        </a:prstGeom>
        <a:solidFill>
          <a:srgbClr val="D9EAF7"/>
        </a:solidFill>
        <a:ln>
          <a:solidFill>
            <a:srgbClr val="D9EAF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0" i="0" u="none" strike="noStrike">
            <a:solidFill>
              <a:srgbClr val="000000"/>
            </a:solidFill>
            <a:latin typeface="Times New Roman" panose="02020603050405020304" pitchFamily="18" charset="0"/>
            <a:ea typeface="Calibri"/>
            <a:cs typeface="Times New Roman" panose="02020603050405020304" pitchFamily="18" charset="0"/>
          </a:endParaRPr>
        </a:p>
        <a:p>
          <a:pPr algn="ctr"/>
          <a:r>
            <a:rPr lang="en-US" sz="2000" b="0" i="0" u="none" strike="noStrike">
              <a:solidFill>
                <a:srgbClr val="000000"/>
              </a:solidFill>
              <a:latin typeface="Times New Roman" panose="02020603050405020304" pitchFamily="18" charset="0"/>
              <a:ea typeface="Calibri"/>
              <a:cs typeface="Times New Roman" panose="02020603050405020304" pitchFamily="18" charset="0"/>
            </a:rPr>
            <a:t>₹</a:t>
          </a:r>
          <a:fld id="{B035C183-64E4-4AE9-88C4-3792F95572B4}" type="TxLink">
            <a:rPr lang="en-US" sz="2000" b="0" i="0" u="none" strike="noStrike">
              <a:solidFill>
                <a:srgbClr val="000000"/>
              </a:solidFill>
              <a:latin typeface="Times New Roman" panose="02020603050405020304" pitchFamily="18" charset="0"/>
              <a:ea typeface="Calibri"/>
              <a:cs typeface="Times New Roman" panose="02020603050405020304" pitchFamily="18" charset="0"/>
            </a:rPr>
            <a:pPr algn="ctr"/>
            <a:t>299.92</a:t>
          </a:fld>
          <a:endParaRPr lang="en-US" sz="2000" b="0" i="0" u="none" strike="noStrike">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617751</xdr:colOff>
      <xdr:row>1</xdr:row>
      <xdr:rowOff>115101</xdr:rowOff>
    </xdr:from>
    <xdr:to>
      <xdr:col>12</xdr:col>
      <xdr:colOff>302389</xdr:colOff>
      <xdr:row>7</xdr:row>
      <xdr:rowOff>175531</xdr:rowOff>
    </xdr:to>
    <xdr:sp macro="" textlink="'Pivot Orders'!H7">
      <xdr:nvSpPr>
        <xdr:cNvPr id="14" name="Rectangle: Rounded Corners 13">
          <a:extLst>
            <a:ext uri="{FF2B5EF4-FFF2-40B4-BE49-F238E27FC236}">
              <a16:creationId xmlns:a16="http://schemas.microsoft.com/office/drawing/2014/main" id="{75EF909D-B2EC-4662-BF55-CED9DC4F4AFF}"/>
            </a:ext>
          </a:extLst>
        </xdr:cNvPr>
        <xdr:cNvSpPr/>
      </xdr:nvSpPr>
      <xdr:spPr>
        <a:xfrm>
          <a:off x="7711278" y="475319"/>
          <a:ext cx="1818238" cy="1141085"/>
        </a:xfrm>
        <a:prstGeom prst="roundRect">
          <a:avLst/>
        </a:prstGeom>
        <a:solidFill>
          <a:srgbClr val="D9EAF7"/>
        </a:solidFill>
        <a:ln>
          <a:solidFill>
            <a:srgbClr val="D9EAF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0" i="0" u="none" strike="noStrike">
            <a:solidFill>
              <a:srgbClr val="000000"/>
            </a:solidFill>
            <a:latin typeface="Times New Roman" panose="02020603050405020304" pitchFamily="18" charset="0"/>
            <a:ea typeface="Calibri"/>
            <a:cs typeface="Times New Roman" panose="02020603050405020304" pitchFamily="18" charset="0"/>
          </a:endParaRPr>
        </a:p>
        <a:p>
          <a:pPr algn="ctr"/>
          <a:fld id="{B80EB648-72E3-465C-A171-A81070FE3ED1}" type="TxLink">
            <a:rPr lang="en-US" sz="2000" b="0" i="0" u="none" strike="noStrike">
              <a:solidFill>
                <a:srgbClr val="000000"/>
              </a:solidFill>
              <a:latin typeface="Times New Roman" panose="02020603050405020304" pitchFamily="18" charset="0"/>
              <a:ea typeface="Calibri"/>
              <a:cs typeface="Times New Roman" panose="02020603050405020304" pitchFamily="18" charset="0"/>
            </a:rPr>
            <a:pPr algn="ctr"/>
            <a:t>46%</a:t>
          </a:fld>
          <a:endParaRPr lang="en-US" sz="2000">
            <a:latin typeface="Times New Roman" panose="02020603050405020304" pitchFamily="18" charset="0"/>
            <a:cs typeface="Times New Roman" panose="02020603050405020304" pitchFamily="18" charset="0"/>
          </a:endParaRPr>
        </a:p>
      </xdr:txBody>
    </xdr:sp>
    <xdr:clientData/>
  </xdr:twoCellAnchor>
  <xdr:twoCellAnchor editAs="oneCell">
    <xdr:from>
      <xdr:col>12</xdr:col>
      <xdr:colOff>424711</xdr:colOff>
      <xdr:row>2</xdr:row>
      <xdr:rowOff>139003</xdr:rowOff>
    </xdr:from>
    <xdr:to>
      <xdr:col>18</xdr:col>
      <xdr:colOff>257071</xdr:colOff>
      <xdr:row>7</xdr:row>
      <xdr:rowOff>139003</xdr:rowOff>
    </xdr:to>
    <mc:AlternateContent xmlns:mc="http://schemas.openxmlformats.org/markup-compatibility/2006" xmlns:a14="http://schemas.microsoft.com/office/drawing/2010/main">
      <mc:Choice Requires="a14">
        <xdr:graphicFrame macro="">
          <xdr:nvGraphicFramePr>
            <xdr:cNvPr id="15" name="Order Type 1">
              <a:extLst>
                <a:ext uri="{FF2B5EF4-FFF2-40B4-BE49-F238E27FC236}">
                  <a16:creationId xmlns:a16="http://schemas.microsoft.com/office/drawing/2014/main" id="{636645AC-ED7A-407F-A754-2A870C128BDD}"/>
                </a:ext>
              </a:extLst>
            </xdr:cNvPr>
            <xdr:cNvGraphicFramePr/>
          </xdr:nvGraphicFramePr>
          <xdr:xfrm>
            <a:off x="0" y="0"/>
            <a:ext cx="0" cy="0"/>
          </xdr:xfrm>
          <a:graphic>
            <a:graphicData uri="http://schemas.microsoft.com/office/drawing/2010/slicer">
              <sle:slicer xmlns:sle="http://schemas.microsoft.com/office/drawing/2010/slicer" name="Order Type 1"/>
            </a:graphicData>
          </a:graphic>
        </xdr:graphicFrame>
      </mc:Choice>
      <mc:Fallback xmlns="">
        <xdr:sp macro="" textlink="">
          <xdr:nvSpPr>
            <xdr:cNvPr id="0" name=""/>
            <xdr:cNvSpPr>
              <a:spLocks noTextEdit="1"/>
            </xdr:cNvSpPr>
          </xdr:nvSpPr>
          <xdr:spPr>
            <a:xfrm>
              <a:off x="9650773" y="689988"/>
              <a:ext cx="3489960" cy="937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298406</xdr:colOff>
      <xdr:row>2</xdr:row>
      <xdr:rowOff>83130</xdr:rowOff>
    </xdr:from>
    <xdr:to>
      <xdr:col>6</xdr:col>
      <xdr:colOff>75667</xdr:colOff>
      <xdr:row>4</xdr:row>
      <xdr:rowOff>110838</xdr:rowOff>
    </xdr:to>
    <xdr:sp macro="" textlink="">
      <xdr:nvSpPr>
        <xdr:cNvPr id="2" name="TextBox 1">
          <a:extLst>
            <a:ext uri="{FF2B5EF4-FFF2-40B4-BE49-F238E27FC236}">
              <a16:creationId xmlns:a16="http://schemas.microsoft.com/office/drawing/2014/main" id="{80A196F4-7C77-4FF5-8D7C-09A50607B321}"/>
            </a:ext>
          </a:extLst>
        </xdr:cNvPr>
        <xdr:cNvSpPr txBox="1"/>
      </xdr:nvSpPr>
      <xdr:spPr>
        <a:xfrm>
          <a:off x="2127206" y="623457"/>
          <a:ext cx="1606061" cy="387926"/>
        </a:xfrm>
        <a:prstGeom prst="rect">
          <a:avLst/>
        </a:prstGeom>
        <a:solidFill>
          <a:srgbClr val="D9EAF7"/>
        </a:solidFill>
        <a:ln w="9525" cmpd="sng">
          <a:solidFill>
            <a:srgbClr val="D9EAF7"/>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latin typeface="Times New Roman" panose="02020603050405020304" pitchFamily="18" charset="0"/>
              <a:cs typeface="Times New Roman" panose="02020603050405020304" pitchFamily="18" charset="0"/>
            </a:rPr>
            <a:t>Total</a:t>
          </a:r>
          <a:r>
            <a:rPr lang="en-US" sz="1600" baseline="0">
              <a:latin typeface="Times New Roman" panose="02020603050405020304" pitchFamily="18" charset="0"/>
              <a:cs typeface="Times New Roman" panose="02020603050405020304" pitchFamily="18" charset="0"/>
            </a:rPr>
            <a:t> Orders</a:t>
          </a:r>
          <a:endParaRPr lang="en-US" sz="1600">
            <a:latin typeface="Times New Roman" panose="02020603050405020304" pitchFamily="18" charset="0"/>
            <a:cs typeface="Times New Roman" panose="02020603050405020304" pitchFamily="18" charset="0"/>
          </a:endParaRPr>
        </a:p>
      </xdr:txBody>
    </xdr:sp>
    <xdr:clientData/>
  </xdr:twoCellAnchor>
  <xdr:twoCellAnchor>
    <xdr:from>
      <xdr:col>6</xdr:col>
      <xdr:colOff>302670</xdr:colOff>
      <xdr:row>2</xdr:row>
      <xdr:rowOff>70339</xdr:rowOff>
    </xdr:from>
    <xdr:to>
      <xdr:col>7</xdr:col>
      <xdr:colOff>1392915</xdr:colOff>
      <xdr:row>4</xdr:row>
      <xdr:rowOff>128954</xdr:rowOff>
    </xdr:to>
    <xdr:sp macro="" textlink="">
      <xdr:nvSpPr>
        <xdr:cNvPr id="3" name="TextBox 2">
          <a:extLst>
            <a:ext uri="{FF2B5EF4-FFF2-40B4-BE49-F238E27FC236}">
              <a16:creationId xmlns:a16="http://schemas.microsoft.com/office/drawing/2014/main" id="{6E18F208-69E6-4A9D-8EBD-EA44C21E9A4B}"/>
            </a:ext>
          </a:extLst>
        </xdr:cNvPr>
        <xdr:cNvSpPr txBox="1"/>
      </xdr:nvSpPr>
      <xdr:spPr>
        <a:xfrm>
          <a:off x="3960270" y="610666"/>
          <a:ext cx="1699845" cy="418833"/>
        </a:xfrm>
        <a:prstGeom prst="rect">
          <a:avLst/>
        </a:prstGeom>
        <a:solidFill>
          <a:srgbClr val="D9EAF7"/>
        </a:solidFill>
        <a:ln w="9525" cmpd="sng">
          <a:solidFill>
            <a:srgbClr val="D9EAF7"/>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latin typeface="Times New Roman" panose="02020603050405020304" pitchFamily="18" charset="0"/>
              <a:cs typeface="Times New Roman" panose="02020603050405020304" pitchFamily="18" charset="0"/>
            </a:rPr>
            <a:t>Total</a:t>
          </a:r>
          <a:r>
            <a:rPr lang="en-US" sz="1600" baseline="0">
              <a:latin typeface="Times New Roman" panose="02020603050405020304" pitchFamily="18" charset="0"/>
              <a:cs typeface="Times New Roman" panose="02020603050405020304" pitchFamily="18" charset="0"/>
            </a:rPr>
            <a:t> </a:t>
          </a:r>
          <a:r>
            <a:rPr lang="en-US" sz="1600">
              <a:latin typeface="Times New Roman" panose="02020603050405020304" pitchFamily="18" charset="0"/>
              <a:cs typeface="Times New Roman" panose="02020603050405020304" pitchFamily="18" charset="0"/>
            </a:rPr>
            <a:t>Revenue </a:t>
          </a:r>
        </a:p>
      </xdr:txBody>
    </xdr:sp>
    <xdr:clientData/>
  </xdr:twoCellAnchor>
  <xdr:twoCellAnchor>
    <xdr:from>
      <xdr:col>7</xdr:col>
      <xdr:colOff>1652952</xdr:colOff>
      <xdr:row>2</xdr:row>
      <xdr:rowOff>70336</xdr:rowOff>
    </xdr:from>
    <xdr:to>
      <xdr:col>9</xdr:col>
      <xdr:colOff>468922</xdr:colOff>
      <xdr:row>4</xdr:row>
      <xdr:rowOff>46891</xdr:rowOff>
    </xdr:to>
    <xdr:sp macro="" textlink="">
      <xdr:nvSpPr>
        <xdr:cNvPr id="4" name="TextBox 3">
          <a:extLst>
            <a:ext uri="{FF2B5EF4-FFF2-40B4-BE49-F238E27FC236}">
              <a16:creationId xmlns:a16="http://schemas.microsoft.com/office/drawing/2014/main" id="{1A391B2B-3034-4539-AC66-37DAA8599369}"/>
            </a:ext>
          </a:extLst>
        </xdr:cNvPr>
        <xdr:cNvSpPr txBox="1"/>
      </xdr:nvSpPr>
      <xdr:spPr>
        <a:xfrm>
          <a:off x="5920152" y="621321"/>
          <a:ext cx="1641232" cy="351693"/>
        </a:xfrm>
        <a:prstGeom prst="rect">
          <a:avLst/>
        </a:prstGeom>
        <a:solidFill>
          <a:srgbClr val="D9EAF7"/>
        </a:solidFill>
        <a:ln w="9525" cmpd="sng">
          <a:solidFill>
            <a:srgbClr val="D9EAF7"/>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latin typeface="Times New Roman" panose="02020603050405020304" pitchFamily="18" charset="0"/>
              <a:cs typeface="Times New Roman" panose="02020603050405020304" pitchFamily="18" charset="0"/>
            </a:rPr>
            <a:t>Average Revenue</a:t>
          </a:r>
        </a:p>
      </xdr:txBody>
    </xdr:sp>
    <xdr:clientData/>
  </xdr:twoCellAnchor>
  <xdr:twoCellAnchor>
    <xdr:from>
      <xdr:col>9</xdr:col>
      <xdr:colOff>683135</xdr:colOff>
      <xdr:row>2</xdr:row>
      <xdr:rowOff>60746</xdr:rowOff>
    </xdr:from>
    <xdr:to>
      <xdr:col>12</xdr:col>
      <xdr:colOff>261105</xdr:colOff>
      <xdr:row>4</xdr:row>
      <xdr:rowOff>84192</xdr:rowOff>
    </xdr:to>
    <xdr:sp macro="" textlink="">
      <xdr:nvSpPr>
        <xdr:cNvPr id="5" name="TextBox 4">
          <a:extLst>
            <a:ext uri="{FF2B5EF4-FFF2-40B4-BE49-F238E27FC236}">
              <a16:creationId xmlns:a16="http://schemas.microsoft.com/office/drawing/2014/main" id="{F5CC3AAA-ABE0-4D1E-8E5A-CECF81EC9DDD}"/>
            </a:ext>
          </a:extLst>
        </xdr:cNvPr>
        <xdr:cNvSpPr txBox="1"/>
      </xdr:nvSpPr>
      <xdr:spPr>
        <a:xfrm>
          <a:off x="7776662" y="601073"/>
          <a:ext cx="1711570" cy="383664"/>
        </a:xfrm>
        <a:prstGeom prst="rect">
          <a:avLst/>
        </a:prstGeom>
        <a:solidFill>
          <a:srgbClr val="D9EAF7"/>
        </a:solidFill>
        <a:ln w="9525" cmpd="sng">
          <a:solidFill>
            <a:srgbClr val="D9EAF7"/>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latin typeface="Times New Roman" panose="02020603050405020304" pitchFamily="18" charset="0"/>
              <a:cs typeface="Times New Roman" panose="02020603050405020304" pitchFamily="18" charset="0"/>
            </a:rPr>
            <a:t>Average Discount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327660</xdr:colOff>
      <xdr:row>92</xdr:row>
      <xdr:rowOff>129540</xdr:rowOff>
    </xdr:from>
    <xdr:to>
      <xdr:col>13</xdr:col>
      <xdr:colOff>335280</xdr:colOff>
      <xdr:row>108</xdr:row>
      <xdr:rowOff>26670</xdr:rowOff>
    </xdr:to>
    <xdr:graphicFrame macro="">
      <xdr:nvGraphicFramePr>
        <xdr:cNvPr id="4" name="Chart 3">
          <a:extLst>
            <a:ext uri="{FF2B5EF4-FFF2-40B4-BE49-F238E27FC236}">
              <a16:creationId xmlns:a16="http://schemas.microsoft.com/office/drawing/2014/main" id="{5122D35A-ED3D-4905-9BC0-E9CEB3526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68580</xdr:colOff>
      <xdr:row>6</xdr:row>
      <xdr:rowOff>1</xdr:rowOff>
    </xdr:from>
    <xdr:to>
      <xdr:col>16</xdr:col>
      <xdr:colOff>510540</xdr:colOff>
      <xdr:row>11</xdr:row>
      <xdr:rowOff>1</xdr:rowOff>
    </xdr:to>
    <mc:AlternateContent xmlns:mc="http://schemas.openxmlformats.org/markup-compatibility/2006" xmlns:a14="http://schemas.microsoft.com/office/drawing/2010/main">
      <mc:Choice Requires="a14">
        <xdr:graphicFrame macro="">
          <xdr:nvGraphicFramePr>
            <xdr:cNvPr id="2" name="Order Type">
              <a:extLst>
                <a:ext uri="{FF2B5EF4-FFF2-40B4-BE49-F238E27FC236}">
                  <a16:creationId xmlns:a16="http://schemas.microsoft.com/office/drawing/2014/main" id="{33132AA1-23E8-463D-92E7-0085AA075505}"/>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mlns="">
        <xdr:sp macro="" textlink="">
          <xdr:nvSpPr>
            <xdr:cNvPr id="0" name=""/>
            <xdr:cNvSpPr>
              <a:spLocks noTextEdit="1"/>
            </xdr:cNvSpPr>
          </xdr:nvSpPr>
          <xdr:spPr>
            <a:xfrm>
              <a:off x="10233660" y="1097281"/>
              <a:ext cx="348996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701040</xdr:colOff>
      <xdr:row>93</xdr:row>
      <xdr:rowOff>129540</xdr:rowOff>
    </xdr:from>
    <xdr:to>
      <xdr:col>3</xdr:col>
      <xdr:colOff>563880</xdr:colOff>
      <xdr:row>109</xdr:row>
      <xdr:rowOff>163830</xdr:rowOff>
    </xdr:to>
    <xdr:graphicFrame macro="">
      <xdr:nvGraphicFramePr>
        <xdr:cNvPr id="5" name="Chart 4">
          <a:extLst>
            <a:ext uri="{FF2B5EF4-FFF2-40B4-BE49-F238E27FC236}">
              <a16:creationId xmlns:a16="http://schemas.microsoft.com/office/drawing/2014/main" id="{7EBD6782-7112-4305-BED5-1ADE40EBD8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30480</xdr:colOff>
      <xdr:row>28</xdr:row>
      <xdr:rowOff>19050</xdr:rowOff>
    </xdr:from>
    <xdr:to>
      <xdr:col>8</xdr:col>
      <xdr:colOff>571500</xdr:colOff>
      <xdr:row>43</xdr:row>
      <xdr:rowOff>19050</xdr:rowOff>
    </xdr:to>
    <xdr:graphicFrame macro="">
      <xdr:nvGraphicFramePr>
        <xdr:cNvPr id="3" name="Chart 2">
          <a:extLst>
            <a:ext uri="{FF2B5EF4-FFF2-40B4-BE49-F238E27FC236}">
              <a16:creationId xmlns:a16="http://schemas.microsoft.com/office/drawing/2014/main" id="{B27E0FC4-7500-4D5A-9A96-93F9ACC6ED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6.705340162036" createdVersion="7" refreshedVersion="7" minRefreshableVersion="3" recordCount="794" xr:uid="{68E8A7AF-4600-4148-9C59-A7291B912044}">
  <cacheSource type="worksheet">
    <worksheetSource name="Table3"/>
  </cacheSource>
  <cacheFields count="11">
    <cacheField name="Order ID" numFmtId="0">
      <sharedItems count="794">
        <s v="PBOR00001"/>
        <s v="PBOR00002"/>
        <s v="PBOR00003"/>
        <s v="PBOR00004"/>
        <s v="PBOR00005"/>
        <s v="PBOR00006"/>
        <s v="PBOR00007"/>
        <s v="PBOR00009"/>
        <s v="PBOR00010"/>
        <s v="PBOR00011"/>
        <s v="PBOR00012"/>
        <s v="PBOR00013"/>
        <s v="PBOR00014"/>
        <s v="PBOR00015"/>
        <s v="PBOR00016"/>
        <s v="PBOR00017"/>
        <s v="PBOR00018"/>
        <s v="PBOR00019"/>
        <s v="PBOR00020"/>
        <s v="PBOR00021"/>
        <s v="PBOR00022"/>
        <s v="PBOR00023"/>
        <s v="PBOR00024"/>
        <s v="PBOR00025"/>
        <s v="PBOR00026"/>
        <s v="PBOR00027"/>
        <s v="PBOR00035"/>
        <s v="PBOR00029"/>
        <s v="PBOR00030"/>
        <s v="PBOR00031"/>
        <s v="PBOR00032"/>
        <s v="PBOR00033"/>
        <s v="PBOR00036"/>
        <s v="PBOR00037"/>
        <s v="PBOR00038"/>
        <s v="PBOR00040"/>
        <s v="PBOR00041"/>
        <s v="PBOR00042"/>
        <s v="PBOR00043"/>
        <s v="PBOR00044"/>
        <s v="PBOR00045"/>
        <s v="PBOR00046"/>
        <s v="PBOR00047"/>
        <s v="PBOR00048"/>
        <s v="PBOR00049"/>
        <s v="PBOR00050"/>
        <s v="PBOR00051"/>
        <s v="PBOR00052"/>
        <s v="PBOR00053"/>
        <s v="PBOR00054"/>
        <s v="PBOR00055"/>
        <s v="PBOR00056"/>
        <s v="PBOR00057"/>
        <s v="PBOR00058"/>
        <s v="PBOR00059"/>
        <s v="PBOR00060"/>
        <s v="PBOR00061"/>
        <s v="PBOR00062"/>
        <s v="PBOR00063"/>
        <s v="PBOR00064"/>
        <s v="PBOR00065"/>
        <s v="PBOR00066"/>
        <s v="PBOR00067"/>
        <s v="PBOR00068"/>
        <s v="PBOR00069"/>
        <s v="PBOR00070"/>
        <s v="PBOR00071"/>
        <s v="PBOR00072"/>
        <s v="PBOR00073"/>
        <s v="PBOR00074"/>
        <s v="PBOR00075"/>
        <s v="PBOR00076"/>
        <s v="PBOR00077"/>
        <s v="PBOR00078"/>
        <s v="PBOR00079"/>
        <s v="PBOR00080"/>
        <s v="PBOR00081"/>
        <s v="PBOR00082"/>
        <s v="PBOR00083"/>
        <s v="PBOR00084"/>
        <s v="PBOR00085"/>
        <s v="PBOR00086"/>
        <s v="PBOR00087"/>
        <s v="PBOR00088"/>
        <s v="PBOR00089"/>
        <s v="PBOR00090"/>
        <s v="PBOR00091"/>
        <s v="PBOR00092"/>
        <s v="PBOR00093"/>
        <s v="PBOR00094"/>
        <s v="PBOR00095"/>
        <s v="PBOR00096"/>
        <s v="PBOR00097"/>
        <s v="PBOR00098"/>
        <s v="PBOR00099"/>
        <s v="PBOR00100"/>
        <s v="PBOR00101"/>
        <s v="PBOR00102"/>
        <s v="PBOR00103"/>
        <s v="PBOR00104"/>
        <s v="PBOR00105"/>
        <s v="PBOR00106"/>
        <s v="PBOR00107"/>
        <s v="PBOR00108"/>
        <s v="PBOR00109"/>
        <s v="PBOR00110"/>
        <s v="PBOR00111"/>
        <s v="PBOR00112"/>
        <s v="PBOR00113"/>
        <s v="PBOR00114"/>
        <s v="PBOR00115"/>
        <s v="PBOR00116"/>
        <s v="PBOR00117"/>
        <s v="PBOR00118"/>
        <s v="PBOR00119"/>
        <s v="PBOR00120"/>
        <s v="PBOR00121"/>
        <s v="PBOR00122"/>
        <s v="PBOR00123"/>
        <s v="PBOR00124"/>
        <s v="PBOR00125"/>
        <s v="PBOR00126"/>
        <s v="PBOR00127"/>
        <s v="PBOR00128"/>
        <s v="PBOR00129"/>
        <s v="PBOR00130"/>
        <s v="PBOR00131"/>
        <s v="PBOR00132"/>
        <s v="PBOR00133"/>
        <s v="PBOR00134"/>
        <s v="PBOR00135"/>
        <s v="PBOR00136"/>
        <s v="PBOR00137"/>
        <s v="PBOR00138"/>
        <s v="PBOR00139"/>
        <s v="PBOR00140"/>
        <s v="PBOR00141"/>
        <s v="PBOR00142"/>
        <s v="PBOR00143"/>
        <s v="PBOR00144"/>
        <s v="PBOR00145"/>
        <s v="PBOR00146"/>
        <s v="PBOR00147"/>
        <s v="PBOR00148"/>
        <s v="PBOR00149"/>
        <s v="PBOR00150"/>
        <s v="PBOR00151"/>
        <s v="PBOR00152"/>
        <s v="PBOR00153"/>
        <s v="PBOR00154"/>
        <s v="PBOR00155"/>
        <s v="PBOR00156"/>
        <s v="PBOR00157"/>
        <s v="PBOR00158"/>
        <s v="PBOR00159"/>
        <s v="PBOR00160"/>
        <s v="PBOR00161"/>
        <s v="PBOR00162"/>
        <s v="PBOR00163"/>
        <s v="PBOR00164"/>
        <s v="PBOR00165"/>
        <s v="PBOR00166"/>
        <s v="PBOR00167"/>
        <s v="PBOR00168"/>
        <s v="PBOR00169"/>
        <s v="PBOR00170"/>
        <s v="PBOR00171"/>
        <s v="PBOR00172"/>
        <s v="PBOR00173"/>
        <s v="PBOR00174"/>
        <s v="PBOR00175"/>
        <s v="PBOR00176"/>
        <s v="PBOR00177"/>
        <s v="PBOR00178"/>
        <s v="PBOR00179"/>
        <s v="PBOR00180"/>
        <s v="PBOR00181"/>
        <s v="PBOR00182"/>
        <s v="PBOR00183"/>
        <s v="PBOR00184"/>
        <s v="PBOR00185"/>
        <s v="PBOR00186"/>
        <s v="PBOR00187"/>
        <s v="PBOR00188"/>
        <s v="PBOR00189"/>
        <s v="PBOR00190"/>
        <s v="PBOR00191"/>
        <s v="PBOR00192"/>
        <s v="PBOR00193"/>
        <s v="PBOR00194"/>
        <s v="PBOR00195"/>
        <s v="PBOR00196"/>
        <s v="PBOR00197"/>
        <s v="PBOR00198"/>
        <s v="PBOR00199"/>
        <s v="PBOR00200"/>
        <s v="PBOR00201"/>
        <s v="PBOR00202"/>
        <s v="PBOR00203"/>
        <s v="PBOR00204"/>
        <s v="PBOR00205"/>
        <s v="PBOR00206"/>
        <s v="PBOR00207"/>
        <s v="PBOR00208"/>
        <s v="PBOR00209"/>
        <s v="PBOR00210"/>
        <s v="PBOR00211"/>
        <s v="PBOR00212"/>
        <s v="PBOR00213"/>
        <s v="PBOR00214"/>
        <s v="PBOR00215"/>
        <s v="PBOR00216"/>
        <s v="PBOR00217"/>
        <s v="PBOR00218"/>
        <s v="PBOR00219"/>
        <s v="PBOR00220"/>
        <s v="PBOR00221"/>
        <s v="PBOR00222"/>
        <s v="PBOR00223"/>
        <s v="PBOR00224"/>
        <s v="PBOR00225"/>
        <s v="PBOR00226"/>
        <s v="PBOR00227"/>
        <s v="PBOR00228"/>
        <s v="PBOR00229"/>
        <s v="PBOR00230"/>
        <s v="PBOR00231"/>
        <s v="PBOR00232"/>
        <s v="PBOR00233"/>
        <s v="PBOR00234"/>
        <s v="PBOR00235"/>
        <s v="PBOR00236"/>
        <s v="PBOR00237"/>
        <s v="PBOR00238"/>
        <s v="PBOR00239"/>
        <s v="PBOR00240"/>
        <s v="PBOR00241"/>
        <s v="PBOR00242"/>
        <s v="PBOR00243"/>
        <s v="PBOR00244"/>
        <s v="PBOR00245"/>
        <s v="PBOR00246"/>
        <s v="PBOR00247"/>
        <s v="PBOR00248"/>
        <s v="PBOR00249"/>
        <s v="PBOR00250"/>
        <s v="PBOR00251"/>
        <s v="PBOR00252"/>
        <s v="PBOR00253"/>
        <s v="PBOR00254"/>
        <s v="PBOR00255"/>
        <s v="PBOR00256"/>
        <s v="PBOR00257"/>
        <s v="PBOR00258"/>
        <s v="PBOR00259"/>
        <s v="PBOR00260"/>
        <s v="PBOR00261"/>
        <s v="PBOR00262"/>
        <s v="PBOR00263"/>
        <s v="PBOR00264"/>
        <s v="PBOR00265"/>
        <s v="PBOR00266"/>
        <s v="PBOR00267"/>
        <s v="PBOR00268"/>
        <s v="PBOR00269"/>
        <s v="PBOR00270"/>
        <s v="PBOR00271"/>
        <s v="PBOR00272"/>
        <s v="PBOR00273"/>
        <s v="PBOR00274"/>
        <s v="PBOR00275"/>
        <s v="PBOR00276"/>
        <s v="PBOR00277"/>
        <s v="PBOR00278"/>
        <s v="PBOR00279"/>
        <s v="PBOR00280"/>
        <s v="PBOR00281"/>
        <s v="PBOR00282"/>
        <s v="PBOR00283"/>
        <s v="PBOR00284"/>
        <s v="PBOR00285"/>
        <s v="PBOR00286"/>
        <s v="PBOR00287"/>
        <s v="PBOR00288"/>
        <s v="PBOR00289"/>
        <s v="PBOR00290"/>
        <s v="PBOR00291"/>
        <s v="PBOR00292"/>
        <s v="PBOR00293"/>
        <s v="PBOR00294"/>
        <s v="PBOR00295"/>
        <s v="PBOR00296"/>
        <s v="PBOR00297"/>
        <s v="PBOR00298"/>
        <s v="PBOR00299"/>
        <s v="PBOR00300"/>
        <s v="PBOR00301"/>
        <s v="PBOR00302"/>
        <s v="PBOR00303"/>
        <s v="PBOR00304"/>
        <s v="PBOR00305"/>
        <s v="PBOR00306"/>
        <s v="PBOR00307"/>
        <s v="PBOR00308"/>
        <s v="PBOR00309"/>
        <s v="PBOR00310"/>
        <s v="PBOR00311"/>
        <s v="PBOR00312"/>
        <s v="PBOR00313"/>
        <s v="PBOR00314"/>
        <s v="PBOR00315"/>
        <s v="PBOR00316"/>
        <s v="PBOR00317"/>
        <s v="PBOR00318"/>
        <s v="PBOR00319"/>
        <s v="PBOR00320"/>
        <s v="PBOR00321"/>
        <s v="PBOR00322"/>
        <s v="PBOR00323"/>
        <s v="PBOR00324"/>
        <s v="PBOR00325"/>
        <s v="PBOR00326"/>
        <s v="PBOR00327"/>
        <s v="PBOR00328"/>
        <s v="PBOR00329"/>
        <s v="PBOR00330"/>
        <s v="PBOR00331"/>
        <s v="PBOR00332"/>
        <s v="PBOR00333"/>
        <s v="PBOR00334"/>
        <s v="PBOR00335"/>
        <s v="PBOR00336"/>
        <s v="PBOR00337"/>
        <s v="PBOR00338"/>
        <s v="PBOR00339"/>
        <s v="PBOR00340"/>
        <s v="PBOR00341"/>
        <s v="PBOR00342"/>
        <s v="PBOR00343"/>
        <s v="PBOR00344"/>
        <s v="PBOR00345"/>
        <s v="PBOR00346"/>
        <s v="PBOR00347"/>
        <s v="PBOR00348"/>
        <s v="PBOR00349"/>
        <s v="PBOR00350"/>
        <s v="PBOR00351"/>
        <s v="PBOR00352"/>
        <s v="PBOR00353"/>
        <s v="PBOR00354"/>
        <s v="PBOR00355"/>
        <s v="PBOR00356"/>
        <s v="PBOR00357"/>
        <s v="PBOR00358"/>
        <s v="PBOR00359"/>
        <s v="PBOR00360"/>
        <s v="PBOR00361"/>
        <s v="PBOR00362"/>
        <s v="PBOR00363"/>
        <s v="PBOR00364"/>
        <s v="PBOR00365"/>
        <s v="PBOR00366"/>
        <s v="PBOR00367"/>
        <s v="PBOR00368"/>
        <s v="PBOR00369"/>
        <s v="PBOR00370"/>
        <s v="PBOR00371"/>
        <s v="PBOR00372"/>
        <s v="PBOR00373"/>
        <s v="PBOR00374"/>
        <s v="PBOR00375"/>
        <s v="PBOR00376"/>
        <s v="PBOR00377"/>
        <s v="PBOR00378"/>
        <s v="PBOR00379"/>
        <s v="PBOR00380"/>
        <s v="PBOR00381"/>
        <s v="PBOR00382"/>
        <s v="PBOR00383"/>
        <s v="PBOR00384"/>
        <s v="PBOR00385"/>
        <s v="PBOR00386"/>
        <s v="PBOR00387"/>
        <s v="PBOR00388"/>
        <s v="PBOR00389"/>
        <s v="PBOR00390"/>
        <s v="PBOR00391"/>
        <s v="PBOR00392"/>
        <s v="PBOR00393"/>
        <s v="PBOR00394"/>
        <s v="PBOR00395"/>
        <s v="PBOR00396"/>
        <s v="PBOR00397"/>
        <s v="PBOR00398"/>
        <s v="PBOR00399"/>
        <s v="PBOR00400"/>
        <s v="PBOR00401"/>
        <s v="PBOR00402"/>
        <s v="PBOR00403"/>
        <s v="PBOR00404"/>
        <s v="PBOR00405"/>
        <s v="PBOR00406"/>
        <s v="PBOR00407"/>
        <s v="PBOR00408"/>
        <s v="PBOR00409"/>
        <s v="PBOR00410"/>
        <s v="PBOR00411"/>
        <s v="PBOR00412"/>
        <s v="PBOR00413"/>
        <s v="PBOR00414"/>
        <s v="PBOR00415"/>
        <s v="PBOR00416"/>
        <s v="PBOR00417"/>
        <s v="PBOR00418"/>
        <s v="PBOR00419"/>
        <s v="PBOR00420"/>
        <s v="PBOR00421"/>
        <s v="PBOR00422"/>
        <s v="PBOR00423"/>
        <s v="PBOR00424"/>
        <s v="PBOR00425"/>
        <s v="PBOR00426"/>
        <s v="PBOR00427"/>
        <s v="PBOR00428"/>
        <s v="PBOR00429"/>
        <s v="PBOR00430"/>
        <s v="PBOR00431"/>
        <s v="PBOR00432"/>
        <s v="PBOR00433"/>
        <s v="PBOR00434"/>
        <s v="PBOR00435"/>
        <s v="PBOR00436"/>
        <s v="PBOR00437"/>
        <s v="PBOR00438"/>
        <s v="PBOR00439"/>
        <s v="PBOR00440"/>
        <s v="PBOR00441"/>
        <s v="PBOR00442"/>
        <s v="PBOR00443"/>
        <s v="PBOR00444"/>
        <s v="PBOR00445"/>
        <s v="PBOR00446"/>
        <s v="PBOR00447"/>
        <s v="PBOR00448"/>
        <s v="PBOR00449"/>
        <s v="PBOR00450"/>
        <s v="PBOR00451"/>
        <s v="PBOR00452"/>
        <s v="PBOR00453"/>
        <s v="PBOR00454"/>
        <s v="PBOR00455"/>
        <s v="PBOR00456"/>
        <s v="PBOR00457"/>
        <s v="PBOR00458"/>
        <s v="PBOR00459"/>
        <s v="PBOR00460"/>
        <s v="PBOR00461"/>
        <s v="PBOR00462"/>
        <s v="PBOR00463"/>
        <s v="PBOR00464"/>
        <s v="PBOR00465"/>
        <s v="PBOR00466"/>
        <s v="PBOR00467"/>
        <s v="PBOR00468"/>
        <s v="PBOR00469"/>
        <s v="PBOR00470"/>
        <s v="PBOR00471"/>
        <s v="PBOR00472"/>
        <s v="PBOR00473"/>
        <s v="PBOR00474"/>
        <s v="PBOR00475"/>
        <s v="PBOR00476"/>
        <s v="PBOR00477"/>
        <s v="PBOR00478"/>
        <s v="PBOR00479"/>
        <s v="PBOR00480"/>
        <s v="PBOR00481"/>
        <s v="PBOR00482"/>
        <s v="PBOR00483"/>
        <s v="PBOR00484"/>
        <s v="PBOR00485"/>
        <s v="PBOR00486"/>
        <s v="PBOR00487"/>
        <s v="PBOR00488"/>
        <s v="PBOR00489"/>
        <s v="PBOR00490"/>
        <s v="PBOR00491"/>
        <s v="PBOR00492"/>
        <s v="PBOR00493"/>
        <s v="PBOR00494"/>
        <s v="PBOR00495"/>
        <s v="PBOR00496"/>
        <s v="PBOR00497"/>
        <s v="PBOR00498"/>
        <s v="PBOR00499"/>
        <s v="PBOR00500"/>
        <s v="PBOR00501"/>
        <s v="PBOR00502"/>
        <s v="PBOR00503"/>
        <s v="PBOR00504"/>
        <s v="PBOR00505"/>
        <s v="PBOR00506"/>
        <s v="PBOR00507"/>
        <s v="PBOR00508"/>
        <s v="PBOR00509"/>
        <s v="PBOR00510"/>
        <s v="PBOR00511"/>
        <s v="PBOR00512"/>
        <s v="PBOR00513"/>
        <s v="PBOR00514"/>
        <s v="PBOR00515"/>
        <s v="PBOR00516"/>
        <s v="PBOR00517"/>
        <s v="PBOR00518"/>
        <s v="PBOR00519"/>
        <s v="PBOR00520"/>
        <s v="PBOR00521"/>
        <s v="PBOR00522"/>
        <s v="PBOR00523"/>
        <s v="PBOR00524"/>
        <s v="PBOR00525"/>
        <s v="PBOR00526"/>
        <s v="PBOR00527"/>
        <s v="PBOR00528"/>
        <s v="PBOR00529"/>
        <s v="PBOR00530"/>
        <s v="PBOR00531"/>
        <s v="PBOR00532"/>
        <s v="PBOR00533"/>
        <s v="PBOR00534"/>
        <s v="PBOR00535"/>
        <s v="PBOR00536"/>
        <s v="PBOR00537"/>
        <s v="PBOR00538"/>
        <s v="PBOR00539"/>
        <s v="PBOR00540"/>
        <s v="PBOR00541"/>
        <s v="PBOR00542"/>
        <s v="PBOR00543"/>
        <s v="PBOR00544"/>
        <s v="PBOR00545"/>
        <s v="PBOR00546"/>
        <s v="PBOR00547"/>
        <s v="PBOR00548"/>
        <s v="PBOR00549"/>
        <s v="PBOR00550"/>
        <s v="PBOR00551"/>
        <s v="PBOR00552"/>
        <s v="PBOR00553"/>
        <s v="PBOR00554"/>
        <s v="PBOR00555"/>
        <s v="PBOR00556"/>
        <s v="PBOR00557"/>
        <s v="PBOR00558"/>
        <s v="PBOR00559"/>
        <s v="PBOR00560"/>
        <s v="PBOR00561"/>
        <s v="PBOR00562"/>
        <s v="PBOR00563"/>
        <s v="PBOR00564"/>
        <s v="PBOR00565"/>
        <s v="PBOR00566"/>
        <s v="PBOR00567"/>
        <s v="PBOR00568"/>
        <s v="PBOR00569"/>
        <s v="PBOR00570"/>
        <s v="PBOR00571"/>
        <s v="PBOR00572"/>
        <s v="PBOR00573"/>
        <s v="PBOR00574"/>
        <s v="PBOR00575"/>
        <s v="PBOR00576"/>
        <s v="PBOR00577"/>
        <s v="PBOR00578"/>
        <s v="PBOR00579"/>
        <s v="PBOR00580"/>
        <s v="PBOR00581"/>
        <s v="PBOR00582"/>
        <s v="PBOR00583"/>
        <s v="PBOR00584"/>
        <s v="PBOR00585"/>
        <s v="PBOR00586"/>
        <s v="PBOR00587"/>
        <s v="PBOR00588"/>
        <s v="PBOR00589"/>
        <s v="PBOR00590"/>
        <s v="PBOR00591"/>
        <s v="PBOR00592"/>
        <s v="PBOR00593"/>
        <s v="PBOR00594"/>
        <s v="PBOR00595"/>
        <s v="PBOR00596"/>
        <s v="PBOR00597"/>
        <s v="PBOR00598"/>
        <s v="PBOR00599"/>
        <s v="PBOR00600"/>
        <s v="PBOR00601"/>
        <s v="PBOR00602"/>
        <s v="PBOR00603"/>
        <s v="PBOR00604"/>
        <s v="PBOR00605"/>
        <s v="PBOR00606"/>
        <s v="PBOR00607"/>
        <s v="PBOR00608"/>
        <s v="PBOR00609"/>
        <s v="PBOR00610"/>
        <s v="PBOR00611"/>
        <s v="PBOR00612"/>
        <s v="PBOR00613"/>
        <s v="PBOR00614"/>
        <s v="PBOR00615"/>
        <s v="PBOR00616"/>
        <s v="PBOR00617"/>
        <s v="PBOR00618"/>
        <s v="PBOR00619"/>
        <s v="PBOR00620"/>
        <s v="PBOR00621"/>
        <s v="PBOR00622"/>
        <s v="PBOR00623"/>
        <s v="PBOR00624"/>
        <s v="PBOR00625"/>
        <s v="PBOR00626"/>
        <s v="PBOR00627"/>
        <s v="PBOR00628"/>
        <s v="PBOR00629"/>
        <s v="PBOR00630"/>
        <s v="PBOR00631"/>
        <s v="PBOR00632"/>
        <s v="PBOR00633"/>
        <s v="PBOR00634"/>
        <s v="PBOR00635"/>
        <s v="PBOR00636"/>
        <s v="PBOR00637"/>
        <s v="PBOR00638"/>
        <s v="PBOR00639"/>
        <s v="PBOR00640"/>
        <s v="PBOR00641"/>
        <s v="PBOR00642"/>
        <s v="PBOR00643"/>
        <s v="PBOR00644"/>
        <s v="PBOR00645"/>
        <s v="PBOR00646"/>
        <s v="PBOR00647"/>
        <s v="PBOR00648"/>
        <s v="PBOR00649"/>
        <s v="PBOR00650"/>
        <s v="PBOR00651"/>
        <s v="PBOR00652"/>
        <s v="PBOR00653"/>
        <s v="PBOR00654"/>
        <s v="PBOR00655"/>
        <s v="PBOR00656"/>
        <s v="PBOR00657"/>
        <s v="PBOR00658"/>
        <s v="PBOR00659"/>
        <s v="PBOR00660"/>
        <s v="PBOR00661"/>
        <s v="PBOR00662"/>
        <s v="PBOR00663"/>
        <s v="PBOR00664"/>
        <s v="PBOR00665"/>
        <s v="PBOR00666"/>
        <s v="PBOR00667"/>
        <s v="PBOR00668"/>
        <s v="PBOR00669"/>
        <s v="PBOR00670"/>
        <s v="PBOR00671"/>
        <s v="PBOR00672"/>
        <s v="PBOR00673"/>
        <s v="PBOR00674"/>
        <s v="PBOR00675"/>
        <s v="PBOR00676"/>
        <s v="PBOR00677"/>
        <s v="PBOR00678"/>
        <s v="PBOR00679"/>
        <s v="PBOR00680"/>
        <s v="PBOR00681"/>
        <s v="PBOR00682"/>
        <s v="PBOR00683"/>
        <s v="PBOR00684"/>
        <s v="PBOR00685"/>
        <s v="PBOR00686"/>
        <s v="PBOR00687"/>
        <s v="PBOR00688"/>
        <s v="PBOR00689"/>
        <s v="PBOR00690"/>
        <s v="PBOR00691"/>
        <s v="PBOR00692"/>
        <s v="PBOR00693"/>
        <s v="PBOR00694"/>
        <s v="PBOR00695"/>
        <s v="PBOR00696"/>
        <s v="PBOR00697"/>
        <s v="PBOR00698"/>
        <s v="PBOR00699"/>
        <s v="PBOR00700"/>
        <s v="PBOR00701"/>
        <s v="PBOR00702"/>
        <s v="PBOR00703"/>
        <s v="PBOR00704"/>
        <s v="PBOR00705"/>
        <s v="PBOR00706"/>
        <s v="PBOR00707"/>
        <s v="PBOR00708"/>
        <s v="PBOR00709"/>
        <s v="PBOR00710"/>
        <s v="PBOR00711"/>
        <s v="PBOR00712"/>
        <s v="PBOR00713"/>
        <s v="PBOR00714"/>
        <s v="PBOR00715"/>
        <s v="PBOR00716"/>
        <s v="PBOR00717"/>
        <s v="PBOR00718"/>
        <s v="PBOR00719"/>
        <s v="PBOR00720"/>
        <s v="PBOR00721"/>
        <s v="PBOR00722"/>
        <s v="PBOR00723"/>
        <s v="PBOR00724"/>
        <s v="PBOR00725"/>
        <s v="PBOR00726"/>
        <s v="PBOR00727"/>
        <s v="PBOR00728"/>
        <s v="PBOR00729"/>
        <s v="PBOR00730"/>
        <s v="PBOR00731"/>
        <s v="PBOR00732"/>
        <s v="PBOR00733"/>
        <s v="PBOR00734"/>
        <s v="PBOR00735"/>
        <s v="PBOR00736"/>
        <s v="PBOR00737"/>
        <s v="PBOR00738"/>
        <s v="PBOR00739"/>
        <s v="PBOR00740"/>
        <s v="PBOR00741"/>
        <s v="PBOR00742"/>
        <s v="PBOR00743"/>
        <s v="PBOR00744"/>
        <s v="PBOR00745"/>
        <s v="PBOR00746"/>
        <s v="PBOR00747"/>
        <s v="PBOR00748"/>
        <s v="PBOR00749"/>
        <s v="PBOR00750"/>
        <s v="PBOR00751"/>
        <s v="PBOR00752"/>
        <s v="PBOR00753"/>
        <s v="PBOR00754"/>
        <s v="PBOR00755"/>
        <s v="PBOR00756"/>
        <s v="PBOR00757"/>
        <s v="PBOR00758"/>
        <s v="PBOR00759"/>
        <s v="PBOR00760"/>
        <s v="PBOR00761"/>
        <s v="PBOR00762"/>
        <s v="PBOR00763"/>
        <s v="PBOR00764"/>
        <s v="PBOR00765"/>
        <s v="PBOR00766"/>
        <s v="PBOR00767"/>
        <s v="PBOR00768"/>
        <s v="PBOR00769"/>
        <s v="PBOR00770"/>
        <s v="PBOR00771"/>
        <s v="PBOR00772"/>
        <s v="PBOR00773"/>
        <s v="PBOR00774"/>
        <s v="PBOR00775"/>
        <s v="PBOR00776"/>
        <s v="PBOR00777"/>
        <s v="PBOR00778"/>
        <s v="PBOR00779"/>
        <s v="PBOR00780"/>
        <s v="PBOR00781"/>
        <s v="PBOR00782"/>
        <s v="PBOR00783"/>
        <s v="PBOR00784"/>
        <s v="PBOR00785"/>
        <s v="PBOR00786"/>
        <s v="PBOR00787"/>
        <s v="PBOR00788"/>
        <s v="PBOR00789"/>
        <s v="PBOR00790"/>
        <s v="PBOR00791"/>
        <s v="PBOR00792"/>
        <s v="PBOR00793"/>
        <s v="PBOR00794"/>
        <s v="PBOR00795"/>
        <s v="PBOR00796"/>
        <s v="PBOR00797"/>
        <s v="PBOR00798"/>
      </sharedItems>
    </cacheField>
    <cacheField name="Product ID" numFmtId="0">
      <sharedItems count="6">
        <s v="PIZB0001"/>
        <s v="PIZB0002"/>
        <s v="PIZB0003"/>
        <s v="PIZB0004"/>
        <s v="PIZB0005"/>
        <s v="PIZB0006"/>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0" base="2">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Product Name" numFmtId="0">
      <sharedItems count="6">
        <s v="Paneer Tikka Pizzabun"/>
        <s v="Crispy Chole Pizzabun"/>
        <s v="Large Paneer Tikka Pizzabun"/>
        <s v="Medium Crispy Chole Pizzabun"/>
        <s v="Minty Pizzabun"/>
        <s v="Aloo Shots Pizzabun"/>
      </sharedItems>
    </cacheField>
    <cacheField name="Order Type" numFmtId="0">
      <sharedItems count="2">
        <s v="Online"/>
        <s v="Physical Visit"/>
      </sharedItems>
    </cacheField>
    <cacheField name="Price of One Product" numFmtId="0">
      <sharedItems containsSemiMixedTypes="0" containsString="0" containsNumber="1" containsInteger="1" minValue="60" maxValue="250"/>
    </cacheField>
    <cacheField name="Agent" numFmtId="0">
      <sharedItems count="3">
        <s v="Roch Cousineau"/>
        <s v="Adrien Martin"/>
        <s v="Albain Forestier"/>
      </sharedItems>
    </cacheField>
    <cacheField name="No of Products in one Sale" numFmtId="0">
      <sharedItems containsSemiMixedTypes="0" containsString="0" containsNumber="1" containsInteger="1" minValue="1" maxValue="15" count="15">
        <n v="8"/>
        <n v="7"/>
        <n v="3"/>
        <n v="5"/>
        <n v="4"/>
        <n v="6"/>
        <n v="9"/>
        <n v="12"/>
        <n v="13"/>
        <n v="2"/>
        <n v="14"/>
        <n v="1"/>
        <n v="11"/>
        <n v="15"/>
        <n v="10"/>
      </sharedItems>
    </cacheField>
    <cacheField name="Discount" numFmtId="10">
      <sharedItems containsSemiMixedTypes="0" containsString="0" containsNumber="1" minValue="4.5012478047171678E-3" maxValue="0.99906448843618356" count="748">
        <n v="1.372080123313592E-2"/>
        <n v="2.2083854314921911E-2"/>
        <n v="0.92842323956324613"/>
        <n v="0.20990358910221096"/>
        <n v="0.184343159134289"/>
        <n v="0.11144429073382323"/>
        <n v="0.56286929186816415"/>
        <n v="3.138956050307417E-2"/>
        <n v="0.23798278495106248"/>
        <n v="0.19712344024473996"/>
        <n v="6.8295799738434873E-2"/>
        <n v="1.6828522965904168E-2"/>
        <n v="0.26661284065553453"/>
        <n v="0.21251347110701568"/>
        <n v="0.10994257661413849"/>
        <n v="0.53607498908607099"/>
        <n v="3.7515550327758003E-2"/>
        <n v="2.4938289886663061E-2"/>
        <n v="1.0123391970414241E-2"/>
        <n v="0.1308869366379137"/>
        <n v="6.6961969492996459E-2"/>
        <n v="0.36350761794645753"/>
        <n v="0.30841415491993102"/>
        <n v="0.21287301321989574"/>
        <n v="0.11047742601795077"/>
        <n v="4.8799156151631218E-2"/>
        <n v="0.27879506176921365"/>
        <n v="7.6045534046593019E-2"/>
        <n v="0.12055762754740325"/>
        <n v="0.30283946337780637"/>
        <n v="0.41401829873258272"/>
        <n v="6.1603660271292333E-3"/>
        <n v="0.10495963672233184"/>
        <n v="0.29377273906475571"/>
        <n v="0.56559810101924179"/>
        <n v="0.14180367825735268"/>
        <n v="0.19727585407121537"/>
        <n v="0.16026707373910823"/>
        <n v="3.6754234817017679E-2"/>
        <n v="0.12047427034169578"/>
        <n v="0.38636401364592987"/>
        <n v="0.25111930985495906"/>
        <n v="0.18099169049889144"/>
        <n v="0.17363786365000505"/>
        <n v="0.75489814137474298"/>
        <n v="0.41826226246410803"/>
        <n v="0.52183512590850833"/>
        <n v="0.4407264983607897"/>
        <n v="0.30123769132028422"/>
        <n v="0.42020557863905661"/>
        <n v="0.38179966249899233"/>
        <n v="4.8435914836800764E-3"/>
        <n v="0.63857584714373206"/>
        <n v="0.92544771931561698"/>
        <n v="4.9069353138029403E-2"/>
        <n v="0.7875779554918797"/>
        <n v="0.4468603878067412"/>
        <n v="0.89674363393446022"/>
        <n v="3.2373342558606799E-2"/>
        <n v="0.94247200152138155"/>
        <n v="0.24863680679080546"/>
        <n v="4.9896521056402299E-2"/>
        <n v="0.49618340188276622"/>
        <n v="0.62889621592411693"/>
        <n v="0.87580490637929664"/>
        <n v="0.37069854126093349"/>
        <n v="0.64422602074286228"/>
        <n v="0.76652707543193765"/>
        <n v="0.74416329829954486"/>
        <n v="0.48484032292333201"/>
        <n v="0.10556900790048951"/>
        <n v="0.35681327352398817"/>
        <n v="0.38966155247167111"/>
        <n v="0.27342799854809485"/>
        <n v="0.68404340685026022"/>
        <n v="0.30511671475159663"/>
        <n v="0.26634683182511409"/>
        <n v="0.95598379426073032"/>
        <n v="0.78465682989488972"/>
        <n v="0.92531650826605816"/>
        <n v="0.91314982692991542"/>
        <n v="8.4586093307030152E-2"/>
        <n v="0.92983220282837542"/>
        <n v="0.13029960752667558"/>
        <n v="0.41456728266200249"/>
        <n v="0.77953807822657883"/>
        <n v="0.56602493379943331"/>
        <n v="0.7922771947085826"/>
        <n v="9.6806596410280221E-2"/>
        <n v="0.10738058788365801"/>
        <n v="0.68298720032284699"/>
        <n v="8.8476327566971991E-2"/>
        <n v="0.12263076179640997"/>
        <n v="0.21348123854438894"/>
        <n v="0.51777110877083832"/>
        <n v="0.2471412366587864"/>
        <n v="0.74108890181243625"/>
        <n v="0.7589550474918334"/>
        <n v="0.39519452416647527"/>
        <n v="2.5857814158937731E-2"/>
        <n v="0.35224195755599907"/>
        <n v="4.2934737769464881E-2"/>
        <n v="6.8824781708392013E-3"/>
        <n v="0.8553400747255635"/>
        <n v="0.62107648533214554"/>
        <n v="0.93819201157518672"/>
        <n v="0.97731506347213748"/>
        <n v="0.93618769203099483"/>
        <n v="0.92747059451906588"/>
        <n v="9.8331104648150314E-2"/>
        <n v="4.5012478047171678E-3"/>
        <n v="0.22169192366246837"/>
        <n v="0.91624709117858605"/>
        <n v="0.61362516317019966"/>
        <n v="0.81572623665656485"/>
        <n v="0.60394772308749511"/>
        <n v="0.2716676542664398"/>
        <n v="0.56293228162406539"/>
        <n v="0.73579140219525918"/>
        <n v="0.44112931781121201"/>
        <n v="0.67026763876764872"/>
        <n v="0.21501842814819261"/>
        <n v="0.77528388030776896"/>
        <n v="0.32334348690445713"/>
        <n v="0.2117276391971491"/>
        <n v="0.99817658128489728"/>
        <n v="0.34321661485625221"/>
        <n v="0.17688363553653064"/>
        <n v="0.54853763527560739"/>
        <n v="0.40612729229894939"/>
        <n v="0.16780300089638589"/>
        <n v="0.91086777790941564"/>
        <n v="0.2731985494536886"/>
        <n v="0.81984662786178419"/>
        <n v="0.89980934003543744"/>
        <n v="0.73522347452625669"/>
        <n v="0.36579213338930128"/>
        <n v="0.79313642440033238"/>
        <n v="8.0407664979564641E-2"/>
        <n v="0.38525936096781821"/>
        <n v="0.45507177071325888"/>
        <n v="0.93827031337312128"/>
        <n v="0.14716035331195043"/>
        <n v="0.10159867043013626"/>
        <n v="0.50060788399709522"/>
        <n v="0.70539643021834586"/>
        <n v="0.72481379032239401"/>
        <n v="0.21833121955544521"/>
        <n v="0.33253524453952932"/>
        <n v="0.39793552100289009"/>
        <n v="0.83519533088641318"/>
        <n v="8.7312208799101843E-3"/>
        <n v="0.95071636556912675"/>
        <n v="6.5110770871939172E-2"/>
        <n v="0.43772024513265795"/>
        <n v="0.41853663840169475"/>
        <n v="0.38824165845812764"/>
        <n v="0.75434060698733896"/>
        <n v="0.61587381700020483"/>
        <n v="0.80006888756762451"/>
        <n v="0.68228949683615203"/>
        <n v="1.6479509006877335E-2"/>
        <n v="0.23078123893127422"/>
        <n v="2.2225272121484729E-2"/>
        <n v="0.72206439626516772"/>
        <n v="0.66067744665264683"/>
        <n v="0.14048396352986114"/>
        <n v="0.37872981249566817"/>
        <n v="0.71515589694127546"/>
        <n v="0.21412519358799298"/>
        <n v="0.16455091596073168"/>
        <n v="0.25666907491668522"/>
        <n v="0.90160231788426648"/>
        <n v="0.320164833885899"/>
        <n v="0.13498450487731639"/>
        <n v="0.91789593738279973"/>
        <n v="0.98021726342122206"/>
        <n v="6.7354248366482961E-2"/>
        <n v="0.49907272133883429"/>
        <n v="0.61466468459589796"/>
        <n v="0.94639798804768638"/>
        <n v="0.95168663838417633"/>
        <n v="0.55958868077394219"/>
        <n v="0.81003936677165544"/>
        <n v="0.35450072343254235"/>
        <n v="0.34895469608332785"/>
        <n v="0.52279578451533193"/>
        <n v="0.69617887937852907"/>
        <n v="0.55638354082081654"/>
        <n v="7.8132692098414003E-2"/>
        <n v="0.37783112687678633"/>
        <n v="0.34200944354303275"/>
        <n v="0.92737976442865855"/>
        <n v="0.96938667185148797"/>
        <n v="0.24406307827004359"/>
        <n v="0.931057824254786"/>
        <n v="0.67570229189541975"/>
        <n v="0.91192982577548221"/>
        <n v="0.46313611506175134"/>
        <n v="5.3530222562513607E-2"/>
        <n v="0.10135414856508229"/>
        <n v="0.15413196820236597"/>
        <n v="0.99147229272651061"/>
        <n v="0.26792541838229555"/>
        <n v="0.67400237007588726"/>
        <n v="0.10779012567415547"/>
        <n v="6.5825812137458972E-2"/>
        <n v="0.36167362480508147"/>
        <n v="0.15611277710708626"/>
        <n v="0.11892962947938523"/>
        <n v="0.94178498482348294"/>
        <n v="0.82224390590219021"/>
        <n v="1.5473035826796155E-2"/>
        <n v="0.57002189482885535"/>
        <n v="0.22169123462523532"/>
        <n v="0.16327712663351335"/>
        <n v="0.71431849239690393"/>
        <n v="0.58151491016386692"/>
        <n v="0.94025500085845537"/>
        <n v="0.85696007733376245"/>
        <n v="0.73704670632037661"/>
        <n v="0.99556674564351355"/>
        <n v="0.82336237784945987"/>
        <n v="0.21429857063805535"/>
        <n v="0.9858246368711242"/>
        <n v="2.0787857004193944E-2"/>
        <n v="0.4043041551106823"/>
        <n v="0.86228936216370378"/>
        <n v="0.20267200262393703"/>
        <n v="0.42721330596562979"/>
        <n v="0.87108149970897442"/>
        <n v="2.6358009716956676E-2"/>
        <n v="0.77767785740350603"/>
        <n v="0.68682565144107521"/>
        <n v="0.58269109940879071"/>
        <n v="0.44339908275720785"/>
        <n v="0.12575036810320794"/>
        <n v="0.58443763111426095"/>
        <n v="0.20269838427382159"/>
        <n v="0.34588473967990274"/>
        <n v="0.44863071332488991"/>
        <n v="0.41195662281860623"/>
        <n v="0.78611978286567918"/>
        <n v="0.82093526112515247"/>
        <n v="0.5655055849614361"/>
        <n v="0.48001599413027629"/>
        <n v="0.80703544305681518"/>
        <n v="0.13472953271650978"/>
        <n v="0.53735244514022174"/>
        <n v="0.86493253723020291"/>
        <n v="0.14635193252367351"/>
        <n v="0.49930216593502397"/>
        <n v="0.16760369217058779"/>
        <n v="0.57040391639924315"/>
        <n v="0.35240472893682595"/>
        <n v="0.11208092156242278"/>
        <n v="0.57839134647100132"/>
        <n v="0.18785567306752626"/>
        <n v="0.69234786906479862"/>
        <n v="0.7313105471637672"/>
        <n v="0.39651294953245186"/>
        <n v="0.47053293956185105"/>
        <n v="0.9022424845836422"/>
        <n v="0.25057968884738369"/>
        <n v="0.56892266919679113"/>
        <n v="3.357106137416721E-2"/>
        <n v="0.11797039324964398"/>
        <n v="2.8176385964748696E-2"/>
        <n v="0.66941136725758887"/>
        <n v="0.36448172495541775"/>
        <n v="0.15416488306079768"/>
        <n v="0.66646609625242947"/>
        <n v="0.69183752034253276"/>
        <n v="0.14649599591234685"/>
        <n v="0.98540635482364014"/>
        <n v="0.32091320735788698"/>
        <n v="0.94495394109275654"/>
        <n v="0.50906748027199666"/>
        <n v="0.66059053266706258"/>
        <n v="0.89615601403703116"/>
        <n v="0.133950017527805"/>
        <n v="0.3823797297998468"/>
        <n v="0.15073825601342095"/>
        <n v="0.96395128247903139"/>
        <n v="0.93894083705684528"/>
        <n v="0.90335270578489546"/>
        <n v="0.62209777321995885"/>
        <n v="6.1676790443396468E-2"/>
        <n v="0.49213521317421138"/>
        <n v="0.69552711985994919"/>
        <n v="0.54528907278354111"/>
        <n v="0.35199536538224718"/>
        <n v="6.0292533629099143E-2"/>
        <n v="4.1434457281700587E-2"/>
        <n v="0.29516274884520199"/>
        <n v="0.68154294540119276"/>
        <n v="0.52632346520297391"/>
        <n v="5.4437687903536869E-2"/>
        <n v="0.95350738842174898"/>
        <n v="0.46726651348176196"/>
        <n v="0.6015089815611987"/>
        <n v="0.17158764742187849"/>
        <n v="0.44731050880102885"/>
        <n v="0.54246953050958213"/>
        <n v="0.50484804947298401"/>
        <n v="9.2316747421295475E-2"/>
        <n v="0.34907542272706216"/>
        <n v="0.90031823580716619"/>
        <n v="0.18050692795462731"/>
        <n v="2.5445092820001292E-2"/>
        <n v="0.79643741142705549"/>
        <n v="0.16077213359827813"/>
        <n v="0.24693836978869843"/>
        <n v="0.22148207946738752"/>
        <n v="0.71458846230959472"/>
        <n v="0.11286694488931481"/>
        <n v="6.5283590828819849E-2"/>
        <n v="0.46681751998353072"/>
        <n v="0.92202770154223668"/>
        <n v="0.18840485753727232"/>
        <n v="0.27847072137209206"/>
        <n v="0.78884251376405168"/>
        <n v="0.18299168548896383"/>
        <n v="0.20591715888096995"/>
        <n v="2.128339836887938E-2"/>
        <n v="2.2806889019524657E-2"/>
        <n v="0.66448214030499053"/>
        <n v="0.29151955249280481"/>
        <n v="0.55684098110336311"/>
        <n v="0.57240542144015649"/>
        <n v="8.6221643115211744E-2"/>
        <n v="0.95609718609661631"/>
        <n v="0.2455223768222089"/>
        <n v="0.56637632681080741"/>
        <n v="4.5179835219914199E-2"/>
        <n v="0.97345529924354934"/>
        <n v="0.56733394419124217"/>
        <n v="0.37928431149731212"/>
        <n v="0.62865911330533553"/>
        <n v="0.37937934610324464"/>
        <n v="0.35891515866951118"/>
        <n v="0.90122352916020354"/>
        <n v="0.37786597877728811"/>
        <n v="0.38913445453338702"/>
        <n v="0.60714667724340543"/>
        <n v="0.17261163513710231"/>
        <n v="3.4451566476951467E-2"/>
        <n v="0.36600821552214791"/>
        <n v="0.36876304797324455"/>
        <n v="0.78491525862060318"/>
        <n v="0.89433154555842931"/>
        <n v="0.54494310667938251"/>
        <n v="0.84443209424513666"/>
        <n v="0.11084077878058052"/>
        <n v="0.26630312920291821"/>
        <n v="0.13279161787420113"/>
        <n v="0.20794478004129135"/>
        <n v="0.76031378549826045"/>
        <n v="0.23804641255169789"/>
        <n v="0.12523689369936652"/>
        <n v="6.7101746358327108E-2"/>
        <n v="0.98970617123906524"/>
        <n v="0.26202679185175082"/>
        <n v="0.87263143953916489"/>
        <n v="0.76778137062272289"/>
        <n v="0.15750010631121669"/>
        <n v="0.53570171465492589"/>
        <n v="0.88217490075954386"/>
        <n v="7.4850081465574259E-2"/>
        <n v="0.4623515242530305"/>
        <n v="0.34462700763177134"/>
        <n v="0.69911624131260175"/>
        <n v="1.890946986705988E-2"/>
        <n v="0.73245470088007136"/>
        <n v="0.72297451744539321"/>
        <n v="0.97417776505363807"/>
        <n v="0.92441295707634297"/>
        <n v="0.34841204291363526"/>
        <n v="0.36862795502486845"/>
        <n v="0.38279600115505574"/>
        <n v="0.77278161923763322"/>
        <n v="0.98194581947705439"/>
        <n v="0.24372632968767749"/>
        <n v="0.50977491571581557"/>
        <n v="0.99123744515485723"/>
        <n v="0.58001027642401182"/>
        <n v="0.20099809520802481"/>
        <n v="8.7589082057090373E-2"/>
        <n v="0.92203517798439572"/>
        <n v="0.40646951216415605"/>
        <n v="0.45522048494031297"/>
        <n v="0.45514828780898176"/>
        <n v="0.30126486834826394"/>
        <n v="0.22886312078587356"/>
        <n v="0.4885587902090005"/>
        <n v="0.88301012782394861"/>
        <n v="0.30705024398286174"/>
        <n v="0.85704939563753491"/>
        <n v="0.29159802445516347"/>
        <n v="0.2589445683285162"/>
        <n v="0.2954209948681138"/>
        <n v="7.4202009604403041E-2"/>
        <n v="3.9067003401354383E-2"/>
        <n v="0.76468504660372305"/>
        <n v="0.74867480539232067"/>
        <n v="0.69300939202757139"/>
        <n v="0.52937391222103747"/>
        <n v="0.32413514859934134"/>
        <n v="0.35907775149399723"/>
        <n v="0.65908590258865696"/>
        <n v="0.51385178684784039"/>
        <n v="0.76665009072072687"/>
        <n v="0.73529214203054083"/>
        <n v="0.44567996518569519"/>
        <n v="0.80491760131950119"/>
        <n v="0.63252724233750568"/>
        <n v="0.54172415841062738"/>
        <n v="0.51449622999670686"/>
        <n v="0.23752502847518697"/>
        <n v="0.99120610081358274"/>
        <n v="0.59705890981846566"/>
        <n v="0.47137791834027587"/>
        <n v="0.41181740780767351"/>
        <n v="7.2014892327985192E-2"/>
        <n v="0.28425228592980878"/>
        <n v="0.51473636278960266"/>
        <n v="0.84360853679959769"/>
        <n v="0.79410595242208182"/>
        <n v="0.43743103077150813"/>
        <n v="0.62414285851347806"/>
        <n v="0.8866455913476804"/>
        <n v="0.18359273290431566"/>
        <n v="0.15906506531321729"/>
        <n v="0.29466747014106187"/>
        <n v="0.35414118605930123"/>
        <n v="0.40463831594750665"/>
        <n v="0.56828189926736972"/>
        <n v="0.68415839920111321"/>
        <n v="0.47900916747418532"/>
        <n v="0.89045722746488731"/>
        <n v="0.50949971880500122"/>
        <n v="0.78361211804502018"/>
        <n v="6.596920154790531E-2"/>
        <n v="0.17858014910494857"/>
        <n v="0.43587855952805254"/>
        <n v="0.74040338644493453"/>
        <n v="0.54109571345744756"/>
        <n v="0.71271172701355112"/>
        <n v="0.66248409996473057"/>
        <n v="0.51300641040982664"/>
        <n v="0.84951124937796896"/>
        <n v="0.57786595909251792"/>
        <n v="1.9027976654024337E-2"/>
        <n v="0.96470463985457444"/>
        <n v="0.57488635792855014"/>
        <n v="0.79022644373890583"/>
        <n v="0.48455890757577336"/>
        <n v="0.63800460329877917"/>
        <n v="0.30649002360516153"/>
        <n v="0.36080294095099252"/>
        <n v="0.58744971889648812"/>
        <n v="0.58173134465129994"/>
        <n v="0.32722900282686973"/>
        <n v="0.77353022396618021"/>
        <n v="0.97605881738782962"/>
        <n v="0.4624601966902111"/>
        <n v="0.79576798781520652"/>
        <n v="0.79378461608413653"/>
        <n v="0.62554743833236093"/>
        <n v="0.92285953502941565"/>
        <n v="0.4561161961822392"/>
        <n v="0.23307005069584885"/>
        <n v="0.66891058823425076"/>
        <n v="0.75714254794421609"/>
        <n v="0.98272806610834285"/>
        <n v="0.15494923729016019"/>
        <n v="0.53744046460481099"/>
        <n v="0.38040504389684238"/>
        <n v="0.87089771980740971"/>
        <n v="0.16787709059171274"/>
        <n v="0.16372282024785689"/>
        <n v="0.63092103953958034"/>
        <n v="5.8345967965851675E-2"/>
        <n v="0.5434289480977943"/>
        <n v="0.23769787836933698"/>
        <n v="0.1589664093385067"/>
        <n v="0.41250611995520925"/>
        <n v="0.57688417424780747"/>
        <n v="1.9825731214498932E-2"/>
        <n v="0.27104325061058276"/>
        <n v="2.4022478920296297E-2"/>
        <n v="0.55700073047043097"/>
        <n v="0.93504881783594462"/>
        <n v="0.98159396844341629"/>
        <n v="0.24333387697930353"/>
        <n v="0.55730842878606657"/>
        <n v="0.52511805067582618"/>
        <n v="0.46770160412236883"/>
        <n v="0.61640760389299754"/>
        <n v="0.38767314234868511"/>
        <n v="0.57360342827281174"/>
        <n v="0.24231687613363362"/>
        <n v="0.86535107904622244"/>
        <n v="0.81402053821630149"/>
        <n v="4.54567911860706E-2"/>
        <n v="0.57641536339145028"/>
        <n v="0.62341465087508263"/>
        <n v="0.15426542111597918"/>
        <n v="0.35866122277691537"/>
        <n v="0.47132950146713515"/>
        <n v="0.65651934167569004"/>
        <n v="6.536945709631603E-2"/>
        <n v="2.3155475546636328E-2"/>
        <n v="3.4575726065849244E-2"/>
        <n v="0.74358709573256876"/>
        <n v="0.98798711214391233"/>
        <n v="0.86392861004308352"/>
        <n v="0.99631096328837077"/>
        <n v="0.70832383225469586"/>
        <n v="0.89988514280890197"/>
        <n v="9.9659395729520539E-2"/>
        <n v="0.96707530632121685"/>
        <n v="5.0795876332256018E-2"/>
        <n v="0.99847977293300605"/>
        <n v="0.87770363435966237"/>
        <n v="0.53242388019467157"/>
        <n v="0.37733825795650999"/>
        <n v="0.18989888381498243"/>
        <n v="0.81918184153509643"/>
        <n v="0.78616289466171341"/>
        <n v="0.49095390919736714"/>
        <n v="0.15466354806909843"/>
        <n v="0.3723261543857036"/>
        <n v="0.56926514064295675"/>
        <n v="0.64676609297525745"/>
        <n v="0.37171972223001659"/>
        <n v="0.34088240595369779"/>
        <n v="0.85125753266190951"/>
        <n v="0.119693940430601"/>
        <n v="0.2842345467468208"/>
        <n v="0.97555946216661116"/>
        <n v="0.2602663363164579"/>
        <n v="0.28601934674190665"/>
        <n v="0.31312581500259506"/>
        <n v="0.83612786876204892"/>
        <n v="0.22686787318066648"/>
        <n v="5.5879897991284011E-2"/>
        <n v="0.59134998925647808"/>
        <n v="0.70016808101660832"/>
        <n v="0.54012219499123049"/>
        <n v="0.49852977338646931"/>
        <n v="0.92468645913291359"/>
        <n v="0.91489388245440961"/>
        <n v="0.88668266998862622"/>
        <n v="0.95037905582966387"/>
        <n v="0.6851509417806052"/>
        <n v="0.85936035409687417"/>
        <n v="0.6817952999496022"/>
        <n v="0.42014536845255757"/>
        <n v="0.75255295600731997"/>
        <n v="0.60935616098041712"/>
        <n v="0.16964219721517437"/>
        <n v="0.28414081434704774"/>
        <n v="0.75160769032900376"/>
        <n v="0.39259992432994195"/>
        <n v="0.97320392709051351"/>
        <n v="0.5448799645795338"/>
        <n v="0.56729655713886307"/>
        <n v="0.19688575502555561"/>
        <n v="0.65785548793509607"/>
        <n v="0.50363772515443817"/>
        <n v="0.13479998568302476"/>
        <n v="0.90587717563155745"/>
        <n v="0.37565375806073897"/>
        <n v="0.46358666414069682"/>
        <n v="0.53705616727067751"/>
        <n v="0.46689448969206393"/>
        <n v="0.17175843683538361"/>
        <n v="0.43691974885976581"/>
        <n v="0.26351724091541218"/>
        <n v="0.32070931001614422"/>
        <n v="0.65450489423019087"/>
        <n v="0.75096555582643509"/>
        <n v="9.2865036687090119E-2"/>
        <n v="0.19762229459131764"/>
        <n v="0.78387070888958998"/>
        <n v="0.84855991867823055"/>
        <n v="0.73828687231805024"/>
        <n v="6.0230296763609248E-3"/>
        <n v="0.83708809815967311"/>
        <n v="0.67445865825138496"/>
        <n v="0.50966501790645868"/>
        <n v="0.48769283030661714"/>
        <n v="0.87833325937287787"/>
        <n v="3.4242886165655073E-2"/>
        <n v="0.51737700534520492"/>
        <n v="5.1570078528530239E-2"/>
        <n v="0.1084969909596577"/>
        <n v="0.96066012032206838"/>
        <n v="0.37707763920766235"/>
        <n v="0.93715227697600989"/>
        <n v="0.45137016581474432"/>
        <n v="5.2396752424262338E-2"/>
        <n v="0.39624063365112416"/>
        <n v="0.66924256970195362"/>
        <n v="0.14872030050281437"/>
        <n v="0.25698597137237322"/>
        <n v="0.76857670037148074"/>
        <n v="0.47051969914827652"/>
        <n v="0.45824338924010022"/>
        <n v="0.92605000402832172"/>
        <n v="0.89981935420853709"/>
        <n v="3.1941824000008889E-2"/>
        <n v="0.26166839166141043"/>
        <n v="0.70453622735149735"/>
        <n v="0.11990950402213552"/>
        <n v="0.16140108736852776"/>
        <n v="0.54123220428463192"/>
        <n v="5.0758458971227549E-2"/>
        <n v="0.76058777469527261"/>
        <n v="0.93302686429658765"/>
        <n v="0.6785317138409257"/>
        <n v="0.12135935560336175"/>
        <n v="0.62015970589960678"/>
        <n v="0.52685730867756264"/>
        <n v="0.57013582144785524"/>
        <n v="0.33286631410018208"/>
        <n v="0.18110877309856699"/>
        <n v="0.76671723618160104"/>
        <n v="0.65253333979430928"/>
        <n v="0.92161811760709456"/>
        <n v="0.15510420640719014"/>
        <n v="0.99906448843618356"/>
        <n v="0.37238555778646509"/>
        <n v="0.40768071478238588"/>
        <n v="0.45557139051328954"/>
        <n v="0.57489307069055406"/>
        <n v="0.93548717351866262"/>
        <n v="0.13069844663616881"/>
        <n v="0.11911780730885158"/>
        <n v="0.84937281870207781"/>
        <n v="0.33462881418000967"/>
        <n v="4.3203387404046723E-2"/>
        <n v="0.93594924918047484"/>
        <n v="1.2666216899193339E-2"/>
        <n v="0.32472927512982697"/>
        <n v="0.32649619872525237"/>
        <n v="0.36451390617020107"/>
        <n v="0.18011929577225838"/>
        <n v="0.46483437744991996"/>
        <n v="0.83050651346105009"/>
        <n v="0.15066111523379588"/>
        <n v="0.66442042135461665"/>
        <n v="0.1220920183126164"/>
        <n v="2.2463752223798705E-2"/>
        <n v="0.52429769092051159"/>
        <n v="3.9077247924941494E-2"/>
        <n v="0.94851758443330048"/>
        <n v="0.49910415063809055"/>
        <n v="0.54734737070255102"/>
        <n v="0.75300994122009834"/>
        <n v="6.3809689698331118E-2"/>
        <n v="0.39748118712671876"/>
        <n v="0.70575401912806879"/>
        <n v="0.95288564092236305"/>
        <n v="0.56108721128841521"/>
        <n v="0.95956600909281775"/>
        <n v="0.53144814452857669"/>
        <n v="0.91779387669899948"/>
        <n v="0.27972748733821273"/>
        <n v="0.69539037533628112"/>
        <n v="0.13142407303530534"/>
        <n v="6.2583039038836996E-2"/>
        <n v="0.92514616169202524"/>
        <n v="0.67321468302735032"/>
        <n v="0.77898383341830002"/>
        <n v="0.87433122840116995"/>
        <n v="0.3596442860201986"/>
        <n v="0.85723758032887332"/>
        <n v="0.63162591709330229"/>
        <n v="0.60420942466872551"/>
        <n v="0.6697262451372592"/>
        <n v="0.6166590351692397"/>
        <n v="0.29005851536879901"/>
        <n v="0.14946147798203957"/>
        <n v="0.5052869275690357"/>
        <n v="0.46512452543697658"/>
        <n v="0.96980207747793412"/>
        <n v="0.77938676628595327"/>
        <n v="0.66971867641344929"/>
        <n v="0.28653444229761893"/>
        <n v="0.21267772152195141"/>
        <n v="0.84187485904564574"/>
        <n v="0.72944009353851291"/>
        <n v="0.59740755607348806"/>
        <n v="7.7788801684839259E-2"/>
        <n v="0.1362948522146159"/>
        <n v="0.37231514425064938"/>
        <n v="0.61898486809049591"/>
        <n v="0.4599761172735195"/>
        <n v="0.2259664780039552"/>
        <n v="0.54771225999395567"/>
        <n v="4.7650352825847175E-2"/>
        <n v="0.93419557670107645"/>
        <n v="0.2257164595146578"/>
        <n v="0.15837676506362552"/>
        <n v="0.34269503577333449"/>
        <n v="4.3557157437325023E-2"/>
        <n v="0.68731054630376309"/>
        <n v="0.33637426181075591"/>
        <n v="0.89685282803872957"/>
        <n v="0.13150923279626803"/>
        <n v="0.67489450246507976"/>
        <n v="0.2521161732551942"/>
        <n v="1.3735280159471563E-2"/>
        <n v="7.7301378712194446E-2"/>
        <n v="0.52319400018845352"/>
        <n v="0.90566341776577763"/>
        <n v="3.7346708670366713E-2"/>
        <n v="0.88473612031410076"/>
        <n v="4.7813772612987582E-2"/>
        <n v="0.42282682445827668"/>
        <n v="0.79345612763642925"/>
        <n v="0.57396549333454805"/>
        <n v="0.81820079617465091"/>
        <n v="0.50811457474734223"/>
        <n v="6.7612733312156781E-3"/>
        <n v="0.2316413608950002"/>
        <n v="8.5085559885369477E-3"/>
        <n v="0.86321990905591661"/>
        <n v="0.99778691000933262"/>
        <n v="5.3289820904471763E-2"/>
        <n v="0.41097919519963277"/>
        <n v="0.72873041915046755"/>
        <n v="0.32208907050374214"/>
        <n v="0.47633741407478125"/>
        <n v="0.30187429178048775"/>
        <n v="0.3019947895350813"/>
        <n v="0.57069590287601024"/>
        <n v="0.71812411677602761"/>
        <n v="6.8788144086626368E-2"/>
        <n v="0.34329368908045976"/>
        <n v="0.72667276275736448"/>
        <n v="0.73913147474580776"/>
        <n v="0.72127016347814199"/>
        <n v="0.76588515486634856"/>
        <n v="0.6541915554347949"/>
        <n v="1.1750375717236694E-2"/>
      </sharedItems>
    </cacheField>
    <cacheField name="Revenue" numFmtId="164">
      <sharedItems containsSemiMixedTypes="0" containsString="0" containsNumber="1" minValue="0.24323300659227387" maxValue="980.97202334597569"/>
    </cacheField>
    <cacheField name="Months" numFmtId="0" databaseField="0">
      <fieldGroup base="2">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7857903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x v="0"/>
    <x v="0"/>
    <x v="0"/>
    <x v="0"/>
    <x v="0"/>
    <n v="72"/>
    <x v="0"/>
    <x v="0"/>
    <x v="0"/>
    <n v="568.09681848971377"/>
  </r>
  <r>
    <x v="1"/>
    <x v="1"/>
    <x v="1"/>
    <x v="1"/>
    <x v="1"/>
    <n v="65"/>
    <x v="1"/>
    <x v="1"/>
    <x v="1"/>
    <n v="444.95184628671052"/>
  </r>
  <r>
    <x v="2"/>
    <x v="2"/>
    <x v="2"/>
    <x v="2"/>
    <x v="0"/>
    <n v="250"/>
    <x v="2"/>
    <x v="2"/>
    <x v="2"/>
    <n v="53.682570327565401"/>
  </r>
  <r>
    <x v="3"/>
    <x v="3"/>
    <x v="3"/>
    <x v="3"/>
    <x v="1"/>
    <n v="130"/>
    <x v="0"/>
    <x v="3"/>
    <x v="3"/>
    <n v="513.56266708356293"/>
  </r>
  <r>
    <x v="4"/>
    <x v="0"/>
    <x v="4"/>
    <x v="0"/>
    <x v="0"/>
    <n v="72"/>
    <x v="1"/>
    <x v="4"/>
    <x v="4"/>
    <n v="234.90917016932477"/>
  </r>
  <r>
    <x v="5"/>
    <x v="1"/>
    <x v="5"/>
    <x v="1"/>
    <x v="1"/>
    <n v="65"/>
    <x v="2"/>
    <x v="0"/>
    <x v="5"/>
    <n v="462.04896881841194"/>
  </r>
  <r>
    <x v="6"/>
    <x v="2"/>
    <x v="1"/>
    <x v="2"/>
    <x v="0"/>
    <n v="250"/>
    <x v="0"/>
    <x v="2"/>
    <x v="6"/>
    <n v="327.8480310988769"/>
  </r>
  <r>
    <x v="7"/>
    <x v="3"/>
    <x v="6"/>
    <x v="3"/>
    <x v="1"/>
    <n v="130"/>
    <x v="1"/>
    <x v="5"/>
    <x v="7"/>
    <n v="755.51614280760214"/>
  </r>
  <r>
    <x v="8"/>
    <x v="4"/>
    <x v="7"/>
    <x v="4"/>
    <x v="0"/>
    <n v="60"/>
    <x v="2"/>
    <x v="1"/>
    <x v="8"/>
    <n v="320.04723032055375"/>
  </r>
  <r>
    <x v="9"/>
    <x v="0"/>
    <x v="6"/>
    <x v="0"/>
    <x v="1"/>
    <n v="72"/>
    <x v="0"/>
    <x v="6"/>
    <x v="9"/>
    <n v="520.26401072140857"/>
  </r>
  <r>
    <x v="10"/>
    <x v="1"/>
    <x v="2"/>
    <x v="1"/>
    <x v="0"/>
    <n v="65"/>
    <x v="1"/>
    <x v="4"/>
    <x v="10"/>
    <n v="242.24309206800692"/>
  </r>
  <r>
    <x v="11"/>
    <x v="2"/>
    <x v="8"/>
    <x v="2"/>
    <x v="1"/>
    <n v="250"/>
    <x v="2"/>
    <x v="2"/>
    <x v="11"/>
    <n v="737.37860777557182"/>
  </r>
  <r>
    <x v="12"/>
    <x v="3"/>
    <x v="9"/>
    <x v="3"/>
    <x v="0"/>
    <n v="130"/>
    <x v="0"/>
    <x v="3"/>
    <x v="12"/>
    <n v="476.70165357390249"/>
  </r>
  <r>
    <x v="13"/>
    <x v="0"/>
    <x v="4"/>
    <x v="0"/>
    <x v="1"/>
    <n v="72"/>
    <x v="1"/>
    <x v="7"/>
    <x v="13"/>
    <n v="680.3883609635385"/>
  </r>
  <r>
    <x v="14"/>
    <x v="1"/>
    <x v="10"/>
    <x v="1"/>
    <x v="0"/>
    <n v="65"/>
    <x v="2"/>
    <x v="4"/>
    <x v="14"/>
    <n v="231.41493008032398"/>
  </r>
  <r>
    <x v="15"/>
    <x v="2"/>
    <x v="10"/>
    <x v="2"/>
    <x v="1"/>
    <n v="250"/>
    <x v="0"/>
    <x v="2"/>
    <x v="15"/>
    <n v="347.94375818544677"/>
  </r>
  <r>
    <x v="16"/>
    <x v="3"/>
    <x v="6"/>
    <x v="3"/>
    <x v="0"/>
    <n v="130"/>
    <x v="1"/>
    <x v="3"/>
    <x v="16"/>
    <n v="625.61489228695734"/>
  </r>
  <r>
    <x v="17"/>
    <x v="4"/>
    <x v="9"/>
    <x v="4"/>
    <x v="0"/>
    <n v="60"/>
    <x v="2"/>
    <x v="8"/>
    <x v="17"/>
    <n v="760.54813388840284"/>
  </r>
  <r>
    <x v="18"/>
    <x v="5"/>
    <x v="10"/>
    <x v="5"/>
    <x v="1"/>
    <n v="95"/>
    <x v="0"/>
    <x v="3"/>
    <x v="18"/>
    <n v="470.19138881405325"/>
  </r>
  <r>
    <x v="19"/>
    <x v="0"/>
    <x v="9"/>
    <x v="0"/>
    <x v="1"/>
    <n v="72"/>
    <x v="1"/>
    <x v="3"/>
    <x v="19"/>
    <n v="312.88070281035107"/>
  </r>
  <r>
    <x v="20"/>
    <x v="1"/>
    <x v="10"/>
    <x v="1"/>
    <x v="1"/>
    <n v="65"/>
    <x v="2"/>
    <x v="4"/>
    <x v="20"/>
    <n v="242.58988793182093"/>
  </r>
  <r>
    <x v="21"/>
    <x v="2"/>
    <x v="2"/>
    <x v="2"/>
    <x v="0"/>
    <n v="250"/>
    <x v="0"/>
    <x v="2"/>
    <x v="21"/>
    <n v="477.36928654015679"/>
  </r>
  <r>
    <x v="22"/>
    <x v="3"/>
    <x v="11"/>
    <x v="3"/>
    <x v="0"/>
    <n v="130"/>
    <x v="1"/>
    <x v="5"/>
    <x v="22"/>
    <n v="539.43695916245372"/>
  </r>
  <r>
    <x v="23"/>
    <x v="0"/>
    <x v="9"/>
    <x v="0"/>
    <x v="0"/>
    <n v="72"/>
    <x v="2"/>
    <x v="0"/>
    <x v="23"/>
    <n v="453.38514438534008"/>
  </r>
  <r>
    <x v="24"/>
    <x v="1"/>
    <x v="12"/>
    <x v="1"/>
    <x v="0"/>
    <n v="65"/>
    <x v="0"/>
    <x v="3"/>
    <x v="24"/>
    <n v="289.09483654416601"/>
  </r>
  <r>
    <x v="25"/>
    <x v="2"/>
    <x v="4"/>
    <x v="2"/>
    <x v="0"/>
    <n v="250"/>
    <x v="1"/>
    <x v="9"/>
    <x v="25"/>
    <n v="475.60042192418439"/>
  </r>
  <r>
    <x v="26"/>
    <x v="3"/>
    <x v="10"/>
    <x v="3"/>
    <x v="0"/>
    <n v="130"/>
    <x v="2"/>
    <x v="2"/>
    <x v="26"/>
    <n v="281.26992591000669"/>
  </r>
  <r>
    <x v="27"/>
    <x v="4"/>
    <x v="10"/>
    <x v="4"/>
    <x v="0"/>
    <n v="60"/>
    <x v="0"/>
    <x v="10"/>
    <x v="27"/>
    <n v="776.12175140086185"/>
  </r>
  <r>
    <x v="28"/>
    <x v="0"/>
    <x v="2"/>
    <x v="0"/>
    <x v="0"/>
    <n v="72"/>
    <x v="1"/>
    <x v="7"/>
    <x v="28"/>
    <n v="759.83820979904351"/>
  </r>
  <r>
    <x v="29"/>
    <x v="1"/>
    <x v="5"/>
    <x v="1"/>
    <x v="0"/>
    <n v="65"/>
    <x v="2"/>
    <x v="3"/>
    <x v="29"/>
    <n v="226.5771744022129"/>
  </r>
  <r>
    <x v="30"/>
    <x v="2"/>
    <x v="11"/>
    <x v="2"/>
    <x v="1"/>
    <n v="250"/>
    <x v="0"/>
    <x v="11"/>
    <x v="30"/>
    <n v="146.49542531685432"/>
  </r>
  <r>
    <x v="31"/>
    <x v="3"/>
    <x v="13"/>
    <x v="3"/>
    <x v="0"/>
    <n v="130"/>
    <x v="1"/>
    <x v="4"/>
    <x v="31"/>
    <n v="516.79660966589279"/>
  </r>
  <r>
    <x v="32"/>
    <x v="0"/>
    <x v="14"/>
    <x v="0"/>
    <x v="0"/>
    <n v="72"/>
    <x v="2"/>
    <x v="0"/>
    <x v="32"/>
    <n v="515.54324924793684"/>
  </r>
  <r>
    <x v="33"/>
    <x v="1"/>
    <x v="9"/>
    <x v="1"/>
    <x v="0"/>
    <n v="65"/>
    <x v="0"/>
    <x v="7"/>
    <x v="33"/>
    <n v="550.85726352949052"/>
  </r>
  <r>
    <x v="34"/>
    <x v="2"/>
    <x v="7"/>
    <x v="2"/>
    <x v="0"/>
    <n v="250"/>
    <x v="1"/>
    <x v="2"/>
    <x v="34"/>
    <n v="325.80142423556867"/>
  </r>
  <r>
    <x v="35"/>
    <x v="3"/>
    <x v="15"/>
    <x v="3"/>
    <x v="0"/>
    <n v="130"/>
    <x v="2"/>
    <x v="2"/>
    <x v="35"/>
    <n v="334.69656547963245"/>
  </r>
  <r>
    <x v="36"/>
    <x v="4"/>
    <x v="15"/>
    <x v="4"/>
    <x v="1"/>
    <n v="60"/>
    <x v="0"/>
    <x v="12"/>
    <x v="36"/>
    <n v="529.79793631299788"/>
  </r>
  <r>
    <x v="37"/>
    <x v="5"/>
    <x v="8"/>
    <x v="5"/>
    <x v="0"/>
    <n v="95"/>
    <x v="1"/>
    <x v="0"/>
    <x v="37"/>
    <n v="638.19702395827778"/>
  </r>
  <r>
    <x v="38"/>
    <x v="0"/>
    <x v="4"/>
    <x v="0"/>
    <x v="0"/>
    <n v="72"/>
    <x v="2"/>
    <x v="3"/>
    <x v="38"/>
    <n v="346.76847546587362"/>
  </r>
  <r>
    <x v="39"/>
    <x v="1"/>
    <x v="12"/>
    <x v="1"/>
    <x v="0"/>
    <n v="65"/>
    <x v="0"/>
    <x v="5"/>
    <x v="39"/>
    <n v="343.01503456673862"/>
  </r>
  <r>
    <x v="40"/>
    <x v="2"/>
    <x v="5"/>
    <x v="2"/>
    <x v="1"/>
    <n v="250"/>
    <x v="1"/>
    <x v="11"/>
    <x v="40"/>
    <n v="153.40899658851754"/>
  </r>
  <r>
    <x v="41"/>
    <x v="3"/>
    <x v="8"/>
    <x v="3"/>
    <x v="1"/>
    <n v="130"/>
    <x v="2"/>
    <x v="1"/>
    <x v="41"/>
    <n v="681.48142803198721"/>
  </r>
  <r>
    <x v="42"/>
    <x v="0"/>
    <x v="15"/>
    <x v="0"/>
    <x v="1"/>
    <n v="72"/>
    <x v="0"/>
    <x v="1"/>
    <x v="42"/>
    <n v="412.78018798855874"/>
  </r>
  <r>
    <x v="43"/>
    <x v="1"/>
    <x v="10"/>
    <x v="1"/>
    <x v="1"/>
    <n v="65"/>
    <x v="1"/>
    <x v="2"/>
    <x v="43"/>
    <n v="161.140616588249"/>
  </r>
  <r>
    <x v="44"/>
    <x v="2"/>
    <x v="9"/>
    <x v="2"/>
    <x v="1"/>
    <n v="250"/>
    <x v="2"/>
    <x v="11"/>
    <x v="44"/>
    <n v="61.275464656314256"/>
  </r>
  <r>
    <x v="45"/>
    <x v="3"/>
    <x v="7"/>
    <x v="3"/>
    <x v="1"/>
    <n v="130"/>
    <x v="0"/>
    <x v="5"/>
    <x v="45"/>
    <n v="453.75543527799573"/>
  </r>
  <r>
    <x v="46"/>
    <x v="0"/>
    <x v="14"/>
    <x v="0"/>
    <x v="0"/>
    <n v="72"/>
    <x v="0"/>
    <x v="4"/>
    <x v="0"/>
    <n v="284.04840924485688"/>
  </r>
  <r>
    <x v="47"/>
    <x v="1"/>
    <x v="16"/>
    <x v="1"/>
    <x v="1"/>
    <n v="65"/>
    <x v="1"/>
    <x v="5"/>
    <x v="1"/>
    <n v="381.38729681718047"/>
  </r>
  <r>
    <x v="48"/>
    <x v="2"/>
    <x v="17"/>
    <x v="2"/>
    <x v="0"/>
    <n v="250"/>
    <x v="2"/>
    <x v="2"/>
    <x v="2"/>
    <n v="53.682570327565401"/>
  </r>
  <r>
    <x v="49"/>
    <x v="3"/>
    <x v="17"/>
    <x v="3"/>
    <x v="1"/>
    <n v="130"/>
    <x v="0"/>
    <x v="9"/>
    <x v="3"/>
    <n v="205.42506683342515"/>
  </r>
  <r>
    <x v="50"/>
    <x v="0"/>
    <x v="5"/>
    <x v="0"/>
    <x v="0"/>
    <n v="72"/>
    <x v="1"/>
    <x v="3"/>
    <x v="4"/>
    <n v="293.63646271165595"/>
  </r>
  <r>
    <x v="51"/>
    <x v="1"/>
    <x v="16"/>
    <x v="1"/>
    <x v="1"/>
    <n v="65"/>
    <x v="2"/>
    <x v="0"/>
    <x v="5"/>
    <n v="462.04896881841194"/>
  </r>
  <r>
    <x v="52"/>
    <x v="2"/>
    <x v="1"/>
    <x v="2"/>
    <x v="0"/>
    <n v="250"/>
    <x v="0"/>
    <x v="2"/>
    <x v="6"/>
    <n v="327.8480310988769"/>
  </r>
  <r>
    <x v="53"/>
    <x v="3"/>
    <x v="18"/>
    <x v="3"/>
    <x v="1"/>
    <n v="130"/>
    <x v="1"/>
    <x v="2"/>
    <x v="7"/>
    <n v="377.75807140380107"/>
  </r>
  <r>
    <x v="54"/>
    <x v="4"/>
    <x v="3"/>
    <x v="4"/>
    <x v="0"/>
    <n v="60"/>
    <x v="2"/>
    <x v="8"/>
    <x v="8"/>
    <n v="594.37342773817124"/>
  </r>
  <r>
    <x v="55"/>
    <x v="0"/>
    <x v="19"/>
    <x v="0"/>
    <x v="1"/>
    <n v="72"/>
    <x v="0"/>
    <x v="3"/>
    <x v="9"/>
    <n v="289.0355615118936"/>
  </r>
  <r>
    <x v="56"/>
    <x v="1"/>
    <x v="20"/>
    <x v="1"/>
    <x v="0"/>
    <n v="65"/>
    <x v="1"/>
    <x v="1"/>
    <x v="10"/>
    <n v="423.9254111190121"/>
  </r>
  <r>
    <x v="57"/>
    <x v="2"/>
    <x v="21"/>
    <x v="2"/>
    <x v="1"/>
    <n v="250"/>
    <x v="2"/>
    <x v="2"/>
    <x v="11"/>
    <n v="737.37860777557182"/>
  </r>
  <r>
    <x v="58"/>
    <x v="3"/>
    <x v="22"/>
    <x v="3"/>
    <x v="0"/>
    <n v="130"/>
    <x v="0"/>
    <x v="5"/>
    <x v="12"/>
    <n v="572.04198428868301"/>
  </r>
  <r>
    <x v="59"/>
    <x v="0"/>
    <x v="23"/>
    <x v="0"/>
    <x v="1"/>
    <n v="72"/>
    <x v="1"/>
    <x v="12"/>
    <x v="13"/>
    <n v="623.68933088324354"/>
  </r>
  <r>
    <x v="60"/>
    <x v="1"/>
    <x v="24"/>
    <x v="1"/>
    <x v="0"/>
    <n v="65"/>
    <x v="2"/>
    <x v="7"/>
    <x v="14"/>
    <n v="694.24479024097195"/>
  </r>
  <r>
    <x v="61"/>
    <x v="2"/>
    <x v="16"/>
    <x v="2"/>
    <x v="1"/>
    <n v="250"/>
    <x v="0"/>
    <x v="9"/>
    <x v="15"/>
    <n v="231.96250545696449"/>
  </r>
  <r>
    <x v="62"/>
    <x v="3"/>
    <x v="25"/>
    <x v="3"/>
    <x v="0"/>
    <n v="130"/>
    <x v="1"/>
    <x v="5"/>
    <x v="16"/>
    <n v="750.73787074434881"/>
  </r>
  <r>
    <x v="63"/>
    <x v="4"/>
    <x v="6"/>
    <x v="4"/>
    <x v="0"/>
    <n v="60"/>
    <x v="2"/>
    <x v="13"/>
    <x v="17"/>
    <n v="877.55553910200331"/>
  </r>
  <r>
    <x v="64"/>
    <x v="5"/>
    <x v="2"/>
    <x v="5"/>
    <x v="1"/>
    <n v="95"/>
    <x v="0"/>
    <x v="6"/>
    <x v="18"/>
    <n v="846.3444998652958"/>
  </r>
  <r>
    <x v="65"/>
    <x v="0"/>
    <x v="26"/>
    <x v="0"/>
    <x v="1"/>
    <n v="72"/>
    <x v="1"/>
    <x v="7"/>
    <x v="19"/>
    <n v="750.91368674484249"/>
  </r>
  <r>
    <x v="66"/>
    <x v="1"/>
    <x v="4"/>
    <x v="1"/>
    <x v="1"/>
    <n v="65"/>
    <x v="2"/>
    <x v="1"/>
    <x v="20"/>
    <n v="424.53230388068658"/>
  </r>
  <r>
    <x v="67"/>
    <x v="2"/>
    <x v="27"/>
    <x v="2"/>
    <x v="0"/>
    <n v="250"/>
    <x v="0"/>
    <x v="2"/>
    <x v="21"/>
    <n v="477.36928654015679"/>
  </r>
  <r>
    <x v="68"/>
    <x v="3"/>
    <x v="15"/>
    <x v="3"/>
    <x v="0"/>
    <n v="130"/>
    <x v="1"/>
    <x v="5"/>
    <x v="22"/>
    <n v="539.43695916245372"/>
  </r>
  <r>
    <x v="69"/>
    <x v="0"/>
    <x v="28"/>
    <x v="0"/>
    <x v="0"/>
    <n v="72"/>
    <x v="2"/>
    <x v="6"/>
    <x v="23"/>
    <n v="510.05828743350759"/>
  </r>
  <r>
    <x v="70"/>
    <x v="1"/>
    <x v="8"/>
    <x v="1"/>
    <x v="0"/>
    <n v="65"/>
    <x v="0"/>
    <x v="4"/>
    <x v="24"/>
    <n v="231.27586923533281"/>
  </r>
  <r>
    <x v="71"/>
    <x v="2"/>
    <x v="6"/>
    <x v="2"/>
    <x v="0"/>
    <n v="250"/>
    <x v="1"/>
    <x v="9"/>
    <x v="25"/>
    <n v="475.60042192418439"/>
  </r>
  <r>
    <x v="72"/>
    <x v="3"/>
    <x v="27"/>
    <x v="3"/>
    <x v="0"/>
    <n v="130"/>
    <x v="2"/>
    <x v="5"/>
    <x v="26"/>
    <n v="562.53985182001338"/>
  </r>
  <r>
    <x v="73"/>
    <x v="4"/>
    <x v="10"/>
    <x v="4"/>
    <x v="0"/>
    <n v="60"/>
    <x v="0"/>
    <x v="6"/>
    <x v="27"/>
    <n v="498.93541161483978"/>
  </r>
  <r>
    <x v="74"/>
    <x v="0"/>
    <x v="29"/>
    <x v="0"/>
    <x v="0"/>
    <n v="72"/>
    <x v="1"/>
    <x v="12"/>
    <x v="28"/>
    <n v="696.51835898245656"/>
  </r>
  <r>
    <x v="75"/>
    <x v="1"/>
    <x v="30"/>
    <x v="1"/>
    <x v="0"/>
    <n v="65"/>
    <x v="2"/>
    <x v="8"/>
    <x v="29"/>
    <n v="589.10065344575355"/>
  </r>
  <r>
    <x v="76"/>
    <x v="2"/>
    <x v="31"/>
    <x v="2"/>
    <x v="1"/>
    <n v="250"/>
    <x v="0"/>
    <x v="9"/>
    <x v="30"/>
    <n v="292.99085063370865"/>
  </r>
  <r>
    <x v="77"/>
    <x v="3"/>
    <x v="27"/>
    <x v="3"/>
    <x v="0"/>
    <n v="130"/>
    <x v="1"/>
    <x v="5"/>
    <x v="31"/>
    <n v="775.19491449883924"/>
  </r>
  <r>
    <x v="78"/>
    <x v="0"/>
    <x v="29"/>
    <x v="0"/>
    <x v="0"/>
    <n v="72"/>
    <x v="2"/>
    <x v="7"/>
    <x v="32"/>
    <n v="773.31487387190521"/>
  </r>
  <r>
    <x v="79"/>
    <x v="1"/>
    <x v="1"/>
    <x v="1"/>
    <x v="0"/>
    <n v="65"/>
    <x v="0"/>
    <x v="12"/>
    <x v="33"/>
    <n v="504.95249156869966"/>
  </r>
  <r>
    <x v="80"/>
    <x v="2"/>
    <x v="11"/>
    <x v="2"/>
    <x v="0"/>
    <n v="250"/>
    <x v="1"/>
    <x v="2"/>
    <x v="34"/>
    <n v="325.80142423556867"/>
  </r>
  <r>
    <x v="81"/>
    <x v="3"/>
    <x v="5"/>
    <x v="3"/>
    <x v="0"/>
    <n v="130"/>
    <x v="2"/>
    <x v="4"/>
    <x v="35"/>
    <n v="446.26208730617662"/>
  </r>
  <r>
    <x v="82"/>
    <x v="4"/>
    <x v="2"/>
    <x v="4"/>
    <x v="1"/>
    <n v="60"/>
    <x v="0"/>
    <x v="10"/>
    <x v="36"/>
    <n v="674.28828258017904"/>
  </r>
  <r>
    <x v="83"/>
    <x v="5"/>
    <x v="31"/>
    <x v="5"/>
    <x v="0"/>
    <n v="95"/>
    <x v="1"/>
    <x v="9"/>
    <x v="37"/>
    <n v="159.54925598956945"/>
  </r>
  <r>
    <x v="84"/>
    <x v="0"/>
    <x v="3"/>
    <x v="0"/>
    <x v="0"/>
    <n v="72"/>
    <x v="2"/>
    <x v="4"/>
    <x v="38"/>
    <n v="277.41478037269889"/>
  </r>
  <r>
    <x v="85"/>
    <x v="1"/>
    <x v="25"/>
    <x v="1"/>
    <x v="0"/>
    <n v="65"/>
    <x v="0"/>
    <x v="5"/>
    <x v="39"/>
    <n v="343.01503456673862"/>
  </r>
  <r>
    <x v="86"/>
    <x v="2"/>
    <x v="7"/>
    <x v="2"/>
    <x v="1"/>
    <n v="250"/>
    <x v="1"/>
    <x v="9"/>
    <x v="40"/>
    <n v="306.81799317703508"/>
  </r>
  <r>
    <x v="87"/>
    <x v="3"/>
    <x v="25"/>
    <x v="3"/>
    <x v="1"/>
    <n v="130"/>
    <x v="2"/>
    <x v="3"/>
    <x v="41"/>
    <n v="486.77244859427657"/>
  </r>
  <r>
    <x v="88"/>
    <x v="0"/>
    <x v="32"/>
    <x v="0"/>
    <x v="1"/>
    <n v="72"/>
    <x v="0"/>
    <x v="5"/>
    <x v="42"/>
    <n v="353.81158970447893"/>
  </r>
  <r>
    <x v="89"/>
    <x v="1"/>
    <x v="33"/>
    <x v="1"/>
    <x v="1"/>
    <n v="65"/>
    <x v="1"/>
    <x v="5"/>
    <x v="43"/>
    <n v="322.28123317649801"/>
  </r>
  <r>
    <x v="90"/>
    <x v="2"/>
    <x v="33"/>
    <x v="2"/>
    <x v="1"/>
    <n v="250"/>
    <x v="2"/>
    <x v="2"/>
    <x v="44"/>
    <n v="183.82639396894277"/>
  </r>
  <r>
    <x v="91"/>
    <x v="3"/>
    <x v="22"/>
    <x v="3"/>
    <x v="1"/>
    <n v="130"/>
    <x v="0"/>
    <x v="4"/>
    <x v="45"/>
    <n v="302.5036235186638"/>
  </r>
  <r>
    <x v="92"/>
    <x v="0"/>
    <x v="34"/>
    <x v="0"/>
    <x v="0"/>
    <n v="72"/>
    <x v="0"/>
    <x v="12"/>
    <x v="46"/>
    <n v="378.70658028046142"/>
  </r>
  <r>
    <x v="93"/>
    <x v="1"/>
    <x v="7"/>
    <x v="1"/>
    <x v="1"/>
    <n v="65"/>
    <x v="1"/>
    <x v="7"/>
    <x v="47"/>
    <n v="436.23333127858405"/>
  </r>
  <r>
    <x v="94"/>
    <x v="2"/>
    <x v="3"/>
    <x v="2"/>
    <x v="0"/>
    <n v="250"/>
    <x v="2"/>
    <x v="2"/>
    <x v="48"/>
    <n v="524.07173150978679"/>
  </r>
  <r>
    <x v="95"/>
    <x v="3"/>
    <x v="31"/>
    <x v="3"/>
    <x v="1"/>
    <n v="130"/>
    <x v="0"/>
    <x v="4"/>
    <x v="49"/>
    <n v="301.49309910769057"/>
  </r>
  <r>
    <x v="96"/>
    <x v="0"/>
    <x v="4"/>
    <x v="0"/>
    <x v="0"/>
    <n v="72"/>
    <x v="1"/>
    <x v="14"/>
    <x v="50"/>
    <n v="445.10424300072555"/>
  </r>
  <r>
    <x v="97"/>
    <x v="1"/>
    <x v="34"/>
    <x v="1"/>
    <x v="1"/>
    <n v="65"/>
    <x v="2"/>
    <x v="3"/>
    <x v="51"/>
    <n v="323.42583276780397"/>
  </r>
  <r>
    <x v="98"/>
    <x v="2"/>
    <x v="13"/>
    <x v="2"/>
    <x v="0"/>
    <n v="250"/>
    <x v="0"/>
    <x v="9"/>
    <x v="52"/>
    <n v="180.71207642813397"/>
  </r>
  <r>
    <x v="99"/>
    <x v="3"/>
    <x v="35"/>
    <x v="3"/>
    <x v="1"/>
    <n v="130"/>
    <x v="1"/>
    <x v="1"/>
    <x v="53"/>
    <n v="67.842575422788542"/>
  </r>
  <r>
    <x v="100"/>
    <x v="4"/>
    <x v="2"/>
    <x v="4"/>
    <x v="0"/>
    <n v="60"/>
    <x v="2"/>
    <x v="14"/>
    <x v="54"/>
    <n v="570.5583881171824"/>
  </r>
  <r>
    <x v="101"/>
    <x v="0"/>
    <x v="13"/>
    <x v="0"/>
    <x v="1"/>
    <n v="72"/>
    <x v="0"/>
    <x v="12"/>
    <x v="55"/>
    <n v="168.23825925043127"/>
  </r>
  <r>
    <x v="102"/>
    <x v="1"/>
    <x v="18"/>
    <x v="1"/>
    <x v="0"/>
    <n v="65"/>
    <x v="1"/>
    <x v="8"/>
    <x v="56"/>
    <n v="467.40297230330367"/>
  </r>
  <r>
    <x v="103"/>
    <x v="2"/>
    <x v="23"/>
    <x v="2"/>
    <x v="1"/>
    <n v="250"/>
    <x v="2"/>
    <x v="9"/>
    <x v="57"/>
    <n v="51.62818303276989"/>
  </r>
  <r>
    <x v="104"/>
    <x v="3"/>
    <x v="36"/>
    <x v="3"/>
    <x v="0"/>
    <n v="130"/>
    <x v="0"/>
    <x v="5"/>
    <x v="58"/>
    <n v="754.74879280428672"/>
  </r>
  <r>
    <x v="105"/>
    <x v="0"/>
    <x v="37"/>
    <x v="0"/>
    <x v="1"/>
    <n v="72"/>
    <x v="1"/>
    <x v="12"/>
    <x v="59"/>
    <n v="45.562174795065808"/>
  </r>
  <r>
    <x v="106"/>
    <x v="1"/>
    <x v="4"/>
    <x v="1"/>
    <x v="0"/>
    <n v="65"/>
    <x v="2"/>
    <x v="1"/>
    <x v="60"/>
    <n v="341.87025291018352"/>
  </r>
  <r>
    <x v="107"/>
    <x v="2"/>
    <x v="3"/>
    <x v="2"/>
    <x v="1"/>
    <n v="250"/>
    <x v="0"/>
    <x v="11"/>
    <x v="61"/>
    <n v="237.52586973589942"/>
  </r>
  <r>
    <x v="108"/>
    <x v="3"/>
    <x v="35"/>
    <x v="3"/>
    <x v="0"/>
    <n v="130"/>
    <x v="1"/>
    <x v="1"/>
    <x v="62"/>
    <n v="458.47310428668277"/>
  </r>
  <r>
    <x v="109"/>
    <x v="4"/>
    <x v="11"/>
    <x v="4"/>
    <x v="0"/>
    <n v="60"/>
    <x v="2"/>
    <x v="8"/>
    <x v="63"/>
    <n v="289.46095157918882"/>
  </r>
  <r>
    <x v="110"/>
    <x v="5"/>
    <x v="10"/>
    <x v="5"/>
    <x v="1"/>
    <n v="95"/>
    <x v="0"/>
    <x v="0"/>
    <x v="64"/>
    <n v="94.388271151734557"/>
  </r>
  <r>
    <x v="111"/>
    <x v="0"/>
    <x v="1"/>
    <x v="0"/>
    <x v="1"/>
    <n v="72"/>
    <x v="1"/>
    <x v="12"/>
    <x v="65"/>
    <n v="498.40675532134065"/>
  </r>
  <r>
    <x v="112"/>
    <x v="1"/>
    <x v="17"/>
    <x v="1"/>
    <x v="1"/>
    <n v="65"/>
    <x v="2"/>
    <x v="14"/>
    <x v="66"/>
    <n v="231.25308651713951"/>
  </r>
  <r>
    <x v="113"/>
    <x v="2"/>
    <x v="17"/>
    <x v="2"/>
    <x v="0"/>
    <n v="250"/>
    <x v="0"/>
    <x v="9"/>
    <x v="67"/>
    <n v="116.73646228403118"/>
  </r>
  <r>
    <x v="114"/>
    <x v="3"/>
    <x v="37"/>
    <x v="3"/>
    <x v="0"/>
    <n v="130"/>
    <x v="1"/>
    <x v="9"/>
    <x v="68"/>
    <n v="66.517542442118341"/>
  </r>
  <r>
    <x v="115"/>
    <x v="0"/>
    <x v="4"/>
    <x v="0"/>
    <x v="0"/>
    <n v="72"/>
    <x v="2"/>
    <x v="0"/>
    <x v="69"/>
    <n v="296.73197399616078"/>
  </r>
  <r>
    <x v="116"/>
    <x v="1"/>
    <x v="2"/>
    <x v="1"/>
    <x v="0"/>
    <n v="65"/>
    <x v="0"/>
    <x v="0"/>
    <x v="70"/>
    <n v="465.10411589174544"/>
  </r>
  <r>
    <x v="117"/>
    <x v="2"/>
    <x v="12"/>
    <x v="2"/>
    <x v="0"/>
    <n v="250"/>
    <x v="1"/>
    <x v="11"/>
    <x v="71"/>
    <n v="160.79668161900295"/>
  </r>
  <r>
    <x v="118"/>
    <x v="3"/>
    <x v="0"/>
    <x v="3"/>
    <x v="0"/>
    <n v="130"/>
    <x v="2"/>
    <x v="9"/>
    <x v="72"/>
    <n v="158.68799635736551"/>
  </r>
  <r>
    <x v="119"/>
    <x v="4"/>
    <x v="38"/>
    <x v="4"/>
    <x v="0"/>
    <n v="60"/>
    <x v="0"/>
    <x v="5"/>
    <x v="73"/>
    <n v="261.56592052268587"/>
  </r>
  <r>
    <x v="120"/>
    <x v="0"/>
    <x v="1"/>
    <x v="0"/>
    <x v="0"/>
    <n v="72"/>
    <x v="1"/>
    <x v="12"/>
    <x v="74"/>
    <n v="250.23762177459392"/>
  </r>
  <r>
    <x v="121"/>
    <x v="1"/>
    <x v="2"/>
    <x v="1"/>
    <x v="0"/>
    <n v="65"/>
    <x v="2"/>
    <x v="4"/>
    <x v="75"/>
    <n v="180.66965416458487"/>
  </r>
  <r>
    <x v="122"/>
    <x v="2"/>
    <x v="5"/>
    <x v="2"/>
    <x v="1"/>
    <n v="250"/>
    <x v="0"/>
    <x v="2"/>
    <x v="76"/>
    <n v="550.23987613116446"/>
  </r>
  <r>
    <x v="123"/>
    <x v="3"/>
    <x v="3"/>
    <x v="3"/>
    <x v="0"/>
    <n v="130"/>
    <x v="1"/>
    <x v="9"/>
    <x v="77"/>
    <n v="11.444213492210116"/>
  </r>
  <r>
    <x v="124"/>
    <x v="0"/>
    <x v="36"/>
    <x v="0"/>
    <x v="0"/>
    <n v="72"/>
    <x v="2"/>
    <x v="2"/>
    <x v="78"/>
    <n v="46.514124742703821"/>
  </r>
  <r>
    <x v="125"/>
    <x v="1"/>
    <x v="24"/>
    <x v="1"/>
    <x v="0"/>
    <n v="65"/>
    <x v="0"/>
    <x v="4"/>
    <x v="79"/>
    <n v="19.417707850824879"/>
  </r>
  <r>
    <x v="126"/>
    <x v="2"/>
    <x v="21"/>
    <x v="2"/>
    <x v="0"/>
    <n v="250"/>
    <x v="1"/>
    <x v="2"/>
    <x v="80"/>
    <n v="65.137629802563438"/>
  </r>
  <r>
    <x v="127"/>
    <x v="3"/>
    <x v="32"/>
    <x v="3"/>
    <x v="0"/>
    <n v="130"/>
    <x v="2"/>
    <x v="9"/>
    <x v="81"/>
    <n v="238.00761574017216"/>
  </r>
  <r>
    <x v="128"/>
    <x v="4"/>
    <x v="4"/>
    <x v="4"/>
    <x v="1"/>
    <n v="60"/>
    <x v="0"/>
    <x v="1"/>
    <x v="82"/>
    <n v="29.470474812082323"/>
  </r>
  <r>
    <x v="129"/>
    <x v="5"/>
    <x v="2"/>
    <x v="5"/>
    <x v="0"/>
    <n v="95"/>
    <x v="1"/>
    <x v="5"/>
    <x v="83"/>
    <n v="495.72922370979489"/>
  </r>
  <r>
    <x v="130"/>
    <x v="0"/>
    <x v="27"/>
    <x v="0"/>
    <x v="0"/>
    <n v="72"/>
    <x v="2"/>
    <x v="5"/>
    <x v="84"/>
    <n v="252.90693389001493"/>
  </r>
  <r>
    <x v="131"/>
    <x v="1"/>
    <x v="0"/>
    <x v="1"/>
    <x v="0"/>
    <n v="65"/>
    <x v="0"/>
    <x v="0"/>
    <x v="85"/>
    <n v="114.640199322179"/>
  </r>
  <r>
    <x v="132"/>
    <x v="2"/>
    <x v="1"/>
    <x v="2"/>
    <x v="1"/>
    <n v="250"/>
    <x v="1"/>
    <x v="2"/>
    <x v="86"/>
    <n v="325.481299650425"/>
  </r>
  <r>
    <x v="133"/>
    <x v="3"/>
    <x v="28"/>
    <x v="3"/>
    <x v="1"/>
    <n v="130"/>
    <x v="2"/>
    <x v="9"/>
    <x v="87"/>
    <n v="54.007929375768526"/>
  </r>
  <r>
    <x v="134"/>
    <x v="0"/>
    <x v="8"/>
    <x v="0"/>
    <x v="1"/>
    <n v="72"/>
    <x v="0"/>
    <x v="6"/>
    <x v="88"/>
    <n v="585.26932552613846"/>
  </r>
  <r>
    <x v="135"/>
    <x v="1"/>
    <x v="33"/>
    <x v="1"/>
    <x v="1"/>
    <n v="65"/>
    <x v="1"/>
    <x v="0"/>
    <x v="89"/>
    <n v="464.16209430049781"/>
  </r>
  <r>
    <x v="136"/>
    <x v="2"/>
    <x v="14"/>
    <x v="2"/>
    <x v="1"/>
    <n v="250"/>
    <x v="2"/>
    <x v="11"/>
    <x v="90"/>
    <n v="79.253199919288249"/>
  </r>
  <r>
    <x v="137"/>
    <x v="3"/>
    <x v="16"/>
    <x v="3"/>
    <x v="1"/>
    <n v="130"/>
    <x v="0"/>
    <x v="9"/>
    <x v="91"/>
    <n v="236.99615483258728"/>
  </r>
  <r>
    <x v="138"/>
    <x v="0"/>
    <x v="17"/>
    <x v="0"/>
    <x v="0"/>
    <n v="72"/>
    <x v="0"/>
    <x v="6"/>
    <x v="92"/>
    <n v="568.5352663559263"/>
  </r>
  <r>
    <x v="139"/>
    <x v="1"/>
    <x v="17"/>
    <x v="1"/>
    <x v="1"/>
    <n v="65"/>
    <x v="1"/>
    <x v="1"/>
    <x v="93"/>
    <n v="357.86603646230304"/>
  </r>
  <r>
    <x v="140"/>
    <x v="2"/>
    <x v="5"/>
    <x v="2"/>
    <x v="0"/>
    <n v="250"/>
    <x v="2"/>
    <x v="2"/>
    <x v="94"/>
    <n v="361.67166842187129"/>
  </r>
  <r>
    <x v="141"/>
    <x v="3"/>
    <x v="16"/>
    <x v="3"/>
    <x v="1"/>
    <n v="130"/>
    <x v="0"/>
    <x v="2"/>
    <x v="95"/>
    <n v="293.61491770307333"/>
  </r>
  <r>
    <x v="142"/>
    <x v="0"/>
    <x v="1"/>
    <x v="0"/>
    <x v="0"/>
    <n v="72"/>
    <x v="1"/>
    <x v="4"/>
    <x v="96"/>
    <n v="74.56639627801836"/>
  </r>
  <r>
    <x v="143"/>
    <x v="1"/>
    <x v="18"/>
    <x v="1"/>
    <x v="1"/>
    <n v="65"/>
    <x v="2"/>
    <x v="3"/>
    <x v="97"/>
    <n v="78.339609565154149"/>
  </r>
  <r>
    <x v="144"/>
    <x v="2"/>
    <x v="3"/>
    <x v="2"/>
    <x v="0"/>
    <n v="250"/>
    <x v="0"/>
    <x v="4"/>
    <x v="98"/>
    <n v="604.80547583352472"/>
  </r>
  <r>
    <x v="145"/>
    <x v="3"/>
    <x v="19"/>
    <x v="3"/>
    <x v="1"/>
    <n v="130"/>
    <x v="1"/>
    <x v="3"/>
    <x v="99"/>
    <n v="633.1924207966905"/>
  </r>
  <r>
    <x v="146"/>
    <x v="4"/>
    <x v="20"/>
    <x v="4"/>
    <x v="0"/>
    <n v="60"/>
    <x v="2"/>
    <x v="14"/>
    <x v="100"/>
    <n v="388.65482546640055"/>
  </r>
  <r>
    <x v="147"/>
    <x v="0"/>
    <x v="21"/>
    <x v="0"/>
    <x v="1"/>
    <n v="72"/>
    <x v="0"/>
    <x v="7"/>
    <x v="101"/>
    <n v="826.90438656718231"/>
  </r>
  <r>
    <x v="148"/>
    <x v="1"/>
    <x v="22"/>
    <x v="1"/>
    <x v="0"/>
    <n v="65"/>
    <x v="1"/>
    <x v="7"/>
    <x v="102"/>
    <n v="774.63166702674539"/>
  </r>
  <r>
    <x v="149"/>
    <x v="2"/>
    <x v="23"/>
    <x v="2"/>
    <x v="1"/>
    <n v="250"/>
    <x v="2"/>
    <x v="11"/>
    <x v="103"/>
    <n v="36.164981318609122"/>
  </r>
  <r>
    <x v="150"/>
    <x v="3"/>
    <x v="24"/>
    <x v="3"/>
    <x v="0"/>
    <n v="130"/>
    <x v="0"/>
    <x v="5"/>
    <x v="104"/>
    <n v="295.56034144092649"/>
  </r>
  <r>
    <x v="151"/>
    <x v="0"/>
    <x v="16"/>
    <x v="0"/>
    <x v="1"/>
    <n v="72"/>
    <x v="1"/>
    <x v="2"/>
    <x v="105"/>
    <n v="13.350525499759668"/>
  </r>
  <r>
    <x v="152"/>
    <x v="1"/>
    <x v="25"/>
    <x v="1"/>
    <x v="0"/>
    <n v="65"/>
    <x v="2"/>
    <x v="7"/>
    <x v="106"/>
    <n v="17.694250491732767"/>
  </r>
  <r>
    <x v="153"/>
    <x v="2"/>
    <x v="6"/>
    <x v="2"/>
    <x v="1"/>
    <n v="250"/>
    <x v="0"/>
    <x v="2"/>
    <x v="107"/>
    <n v="47.859230976753878"/>
  </r>
  <r>
    <x v="154"/>
    <x v="3"/>
    <x v="2"/>
    <x v="3"/>
    <x v="0"/>
    <n v="130"/>
    <x v="1"/>
    <x v="3"/>
    <x v="108"/>
    <n v="47.144113562607174"/>
  </r>
  <r>
    <x v="155"/>
    <x v="4"/>
    <x v="26"/>
    <x v="4"/>
    <x v="0"/>
    <n v="60"/>
    <x v="2"/>
    <x v="0"/>
    <x v="109"/>
    <n v="432.80106976888783"/>
  </r>
  <r>
    <x v="156"/>
    <x v="5"/>
    <x v="4"/>
    <x v="5"/>
    <x v="1"/>
    <n v="95"/>
    <x v="0"/>
    <x v="3"/>
    <x v="110"/>
    <n v="472.86190729275933"/>
  </r>
  <r>
    <x v="157"/>
    <x v="0"/>
    <x v="27"/>
    <x v="0"/>
    <x v="1"/>
    <n v="72"/>
    <x v="1"/>
    <x v="6"/>
    <x v="111"/>
    <n v="504.34363346672052"/>
  </r>
  <r>
    <x v="158"/>
    <x v="1"/>
    <x v="15"/>
    <x v="1"/>
    <x v="1"/>
    <n v="65"/>
    <x v="2"/>
    <x v="5"/>
    <x v="112"/>
    <n v="32.663634440351444"/>
  </r>
  <r>
    <x v="159"/>
    <x v="2"/>
    <x v="28"/>
    <x v="2"/>
    <x v="0"/>
    <n v="250"/>
    <x v="0"/>
    <x v="2"/>
    <x v="113"/>
    <n v="289.78112762235025"/>
  </r>
  <r>
    <x v="160"/>
    <x v="3"/>
    <x v="8"/>
    <x v="3"/>
    <x v="0"/>
    <n v="130"/>
    <x v="1"/>
    <x v="4"/>
    <x v="114"/>
    <n v="95.822356938586282"/>
  </r>
  <r>
    <x v="161"/>
    <x v="0"/>
    <x v="6"/>
    <x v="0"/>
    <x v="0"/>
    <n v="72"/>
    <x v="2"/>
    <x v="12"/>
    <x v="115"/>
    <n v="313.67340331470388"/>
  </r>
  <r>
    <x v="162"/>
    <x v="1"/>
    <x v="27"/>
    <x v="1"/>
    <x v="0"/>
    <n v="65"/>
    <x v="0"/>
    <x v="1"/>
    <x v="116"/>
    <n v="331.39121730876991"/>
  </r>
  <r>
    <x v="163"/>
    <x v="2"/>
    <x v="10"/>
    <x v="2"/>
    <x v="0"/>
    <n v="250"/>
    <x v="1"/>
    <x v="9"/>
    <x v="117"/>
    <n v="218.53385918796729"/>
  </r>
  <r>
    <x v="164"/>
    <x v="3"/>
    <x v="29"/>
    <x v="3"/>
    <x v="0"/>
    <n v="130"/>
    <x v="2"/>
    <x v="4"/>
    <x v="118"/>
    <n v="137.38847085846521"/>
  </r>
  <r>
    <x v="165"/>
    <x v="4"/>
    <x v="30"/>
    <x v="4"/>
    <x v="0"/>
    <n v="60"/>
    <x v="0"/>
    <x v="7"/>
    <x v="119"/>
    <n v="402.38689117592736"/>
  </r>
  <r>
    <x v="166"/>
    <x v="0"/>
    <x v="31"/>
    <x v="0"/>
    <x v="0"/>
    <n v="72"/>
    <x v="1"/>
    <x v="12"/>
    <x v="120"/>
    <n v="261.14803009602224"/>
  </r>
  <r>
    <x v="167"/>
    <x v="1"/>
    <x v="27"/>
    <x v="1"/>
    <x v="0"/>
    <n v="65"/>
    <x v="2"/>
    <x v="6"/>
    <x v="121"/>
    <n v="459.2142195333073"/>
  </r>
  <r>
    <x v="168"/>
    <x v="2"/>
    <x v="29"/>
    <x v="2"/>
    <x v="1"/>
    <n v="250"/>
    <x v="0"/>
    <x v="2"/>
    <x v="122"/>
    <n v="168.53708976917329"/>
  </r>
  <r>
    <x v="169"/>
    <x v="3"/>
    <x v="1"/>
    <x v="3"/>
    <x v="0"/>
    <n v="130"/>
    <x v="1"/>
    <x v="2"/>
    <x v="123"/>
    <n v="263.89604010726174"/>
  </r>
  <r>
    <x v="170"/>
    <x v="0"/>
    <x v="11"/>
    <x v="0"/>
    <x v="0"/>
    <n v="72"/>
    <x v="2"/>
    <x v="3"/>
    <x v="124"/>
    <n v="283.77804988902631"/>
  </r>
  <r>
    <x v="171"/>
    <x v="1"/>
    <x v="5"/>
    <x v="1"/>
    <x v="0"/>
    <n v="65"/>
    <x v="0"/>
    <x v="14"/>
    <x v="125"/>
    <n v="1.1852221648167682"/>
  </r>
  <r>
    <x v="172"/>
    <x v="2"/>
    <x v="2"/>
    <x v="2"/>
    <x v="0"/>
    <n v="250"/>
    <x v="1"/>
    <x v="2"/>
    <x v="126"/>
    <n v="492.58753885781084"/>
  </r>
  <r>
    <x v="173"/>
    <x v="3"/>
    <x v="31"/>
    <x v="3"/>
    <x v="0"/>
    <n v="130"/>
    <x v="2"/>
    <x v="5"/>
    <x v="127"/>
    <n v="642.03076428150609"/>
  </r>
  <r>
    <x v="174"/>
    <x v="4"/>
    <x v="3"/>
    <x v="4"/>
    <x v="1"/>
    <n v="60"/>
    <x v="0"/>
    <x v="7"/>
    <x v="128"/>
    <n v="325.05290260156266"/>
  </r>
  <r>
    <x v="175"/>
    <x v="5"/>
    <x v="25"/>
    <x v="5"/>
    <x v="0"/>
    <n v="95"/>
    <x v="1"/>
    <x v="1"/>
    <x v="129"/>
    <n v="394.92535062119867"/>
  </r>
  <r>
    <x v="176"/>
    <x v="0"/>
    <x v="7"/>
    <x v="0"/>
    <x v="0"/>
    <n v="72"/>
    <x v="2"/>
    <x v="5"/>
    <x v="130"/>
    <n v="359.50910361276129"/>
  </r>
  <r>
    <x v="177"/>
    <x v="1"/>
    <x v="25"/>
    <x v="1"/>
    <x v="0"/>
    <n v="65"/>
    <x v="0"/>
    <x v="14"/>
    <x v="131"/>
    <n v="57.93594435887983"/>
  </r>
  <r>
    <x v="178"/>
    <x v="2"/>
    <x v="32"/>
    <x v="2"/>
    <x v="1"/>
    <n v="250"/>
    <x v="1"/>
    <x v="2"/>
    <x v="132"/>
    <n v="545.10108790973356"/>
  </r>
  <r>
    <x v="179"/>
    <x v="3"/>
    <x v="33"/>
    <x v="3"/>
    <x v="1"/>
    <n v="130"/>
    <x v="2"/>
    <x v="4"/>
    <x v="133"/>
    <n v="93.679753511872221"/>
  </r>
  <r>
    <x v="180"/>
    <x v="0"/>
    <x v="33"/>
    <x v="0"/>
    <x v="1"/>
    <n v="72"/>
    <x v="0"/>
    <x v="1"/>
    <x v="134"/>
    <n v="50.496092622139528"/>
  </r>
  <r>
    <x v="181"/>
    <x v="1"/>
    <x v="22"/>
    <x v="1"/>
    <x v="1"/>
    <n v="65"/>
    <x v="1"/>
    <x v="3"/>
    <x v="135"/>
    <n v="86.052370778966576"/>
  </r>
  <r>
    <x v="182"/>
    <x v="2"/>
    <x v="34"/>
    <x v="2"/>
    <x v="1"/>
    <n v="250"/>
    <x v="2"/>
    <x v="2"/>
    <x v="136"/>
    <n v="475.65589995802407"/>
  </r>
  <r>
    <x v="183"/>
    <x v="3"/>
    <x v="7"/>
    <x v="3"/>
    <x v="1"/>
    <n v="130"/>
    <x v="0"/>
    <x v="9"/>
    <x v="137"/>
    <n v="53.78452965591358"/>
  </r>
  <r>
    <x v="184"/>
    <x v="0"/>
    <x v="3"/>
    <x v="0"/>
    <x v="0"/>
    <n v="72"/>
    <x v="0"/>
    <x v="4"/>
    <x v="138"/>
    <n v="264.8425924858854"/>
  </r>
  <r>
    <x v="185"/>
    <x v="1"/>
    <x v="31"/>
    <x v="1"/>
    <x v="1"/>
    <n v="65"/>
    <x v="1"/>
    <x v="7"/>
    <x v="139"/>
    <n v="479.49769844510178"/>
  </r>
  <r>
    <x v="186"/>
    <x v="2"/>
    <x v="4"/>
    <x v="2"/>
    <x v="0"/>
    <n v="250"/>
    <x v="2"/>
    <x v="11"/>
    <x v="140"/>
    <n v="136.23205732168529"/>
  </r>
  <r>
    <x v="187"/>
    <x v="3"/>
    <x v="34"/>
    <x v="3"/>
    <x v="1"/>
    <n v="130"/>
    <x v="0"/>
    <x v="4"/>
    <x v="141"/>
    <n v="32.099437045976934"/>
  </r>
  <r>
    <x v="188"/>
    <x v="0"/>
    <x v="13"/>
    <x v="0"/>
    <x v="0"/>
    <n v="72"/>
    <x v="1"/>
    <x v="1"/>
    <x v="142"/>
    <n v="429.83118193077701"/>
  </r>
  <r>
    <x v="189"/>
    <x v="1"/>
    <x v="35"/>
    <x v="1"/>
    <x v="1"/>
    <n v="65"/>
    <x v="2"/>
    <x v="7"/>
    <x v="143"/>
    <n v="700.7530370644937"/>
  </r>
  <r>
    <x v="190"/>
    <x v="2"/>
    <x v="2"/>
    <x v="2"/>
    <x v="0"/>
    <n v="250"/>
    <x v="0"/>
    <x v="9"/>
    <x v="144"/>
    <n v="249.6960580014524"/>
  </r>
  <r>
    <x v="191"/>
    <x v="3"/>
    <x v="13"/>
    <x v="3"/>
    <x v="1"/>
    <n v="130"/>
    <x v="1"/>
    <x v="5"/>
    <x v="145"/>
    <n v="229.79078442969023"/>
  </r>
  <r>
    <x v="192"/>
    <x v="4"/>
    <x v="18"/>
    <x v="4"/>
    <x v="0"/>
    <n v="60"/>
    <x v="2"/>
    <x v="7"/>
    <x v="146"/>
    <n v="198.13407096787631"/>
  </r>
  <r>
    <x v="193"/>
    <x v="0"/>
    <x v="23"/>
    <x v="0"/>
    <x v="1"/>
    <n v="72"/>
    <x v="0"/>
    <x v="5"/>
    <x v="147"/>
    <n v="337.68091315204765"/>
  </r>
  <r>
    <x v="194"/>
    <x v="1"/>
    <x v="36"/>
    <x v="1"/>
    <x v="0"/>
    <n v="65"/>
    <x v="1"/>
    <x v="0"/>
    <x v="148"/>
    <n v="347.08167283944476"/>
  </r>
  <r>
    <x v="195"/>
    <x v="2"/>
    <x v="37"/>
    <x v="2"/>
    <x v="1"/>
    <n v="250"/>
    <x v="2"/>
    <x v="9"/>
    <x v="149"/>
    <n v="301.03223949855493"/>
  </r>
  <r>
    <x v="196"/>
    <x v="3"/>
    <x v="4"/>
    <x v="3"/>
    <x v="0"/>
    <n v="130"/>
    <x v="0"/>
    <x v="4"/>
    <x v="150"/>
    <n v="85.698427939065141"/>
  </r>
  <r>
    <x v="197"/>
    <x v="0"/>
    <x v="3"/>
    <x v="0"/>
    <x v="1"/>
    <n v="72"/>
    <x v="1"/>
    <x v="14"/>
    <x v="151"/>
    <n v="713.71352096646467"/>
  </r>
  <r>
    <x v="198"/>
    <x v="1"/>
    <x v="35"/>
    <x v="1"/>
    <x v="0"/>
    <n v="65"/>
    <x v="2"/>
    <x v="7"/>
    <x v="152"/>
    <n v="38.441234856081131"/>
  </r>
  <r>
    <x v="199"/>
    <x v="2"/>
    <x v="11"/>
    <x v="2"/>
    <x v="1"/>
    <n v="250"/>
    <x v="0"/>
    <x v="4"/>
    <x v="153"/>
    <n v="934.88922912806083"/>
  </r>
  <r>
    <x v="200"/>
    <x v="3"/>
    <x v="10"/>
    <x v="3"/>
    <x v="0"/>
    <n v="130"/>
    <x v="1"/>
    <x v="5"/>
    <x v="154"/>
    <n v="438.57820879652678"/>
  </r>
  <r>
    <x v="201"/>
    <x v="4"/>
    <x v="1"/>
    <x v="4"/>
    <x v="0"/>
    <n v="60"/>
    <x v="2"/>
    <x v="1"/>
    <x v="155"/>
    <n v="244.21461187128821"/>
  </r>
  <r>
    <x v="202"/>
    <x v="5"/>
    <x v="17"/>
    <x v="5"/>
    <x v="1"/>
    <n v="95"/>
    <x v="0"/>
    <x v="1"/>
    <x v="156"/>
    <n v="406.81929712534514"/>
  </r>
  <r>
    <x v="203"/>
    <x v="0"/>
    <x v="17"/>
    <x v="0"/>
    <x v="1"/>
    <n v="72"/>
    <x v="1"/>
    <x v="2"/>
    <x v="157"/>
    <n v="53.062428890734786"/>
  </r>
  <r>
    <x v="204"/>
    <x v="1"/>
    <x v="37"/>
    <x v="1"/>
    <x v="1"/>
    <n v="65"/>
    <x v="2"/>
    <x v="7"/>
    <x v="158"/>
    <n v="299.61842273984024"/>
  </r>
  <r>
    <x v="205"/>
    <x v="2"/>
    <x v="4"/>
    <x v="2"/>
    <x v="0"/>
    <n v="250"/>
    <x v="0"/>
    <x v="9"/>
    <x v="159"/>
    <n v="99.96555621618775"/>
  </r>
  <r>
    <x v="206"/>
    <x v="3"/>
    <x v="2"/>
    <x v="3"/>
    <x v="0"/>
    <n v="130"/>
    <x v="1"/>
    <x v="3"/>
    <x v="160"/>
    <n v="206.51182705650118"/>
  </r>
  <r>
    <x v="207"/>
    <x v="0"/>
    <x v="12"/>
    <x v="0"/>
    <x v="0"/>
    <n v="72"/>
    <x v="2"/>
    <x v="14"/>
    <x v="161"/>
    <n v="708.13475351504837"/>
  </r>
  <r>
    <x v="208"/>
    <x v="1"/>
    <x v="0"/>
    <x v="1"/>
    <x v="0"/>
    <n v="65"/>
    <x v="0"/>
    <x v="14"/>
    <x v="162"/>
    <n v="499.99219469467175"/>
  </r>
  <r>
    <x v="209"/>
    <x v="2"/>
    <x v="38"/>
    <x v="2"/>
    <x v="0"/>
    <n v="250"/>
    <x v="1"/>
    <x v="2"/>
    <x v="163"/>
    <n v="733.33104590888649"/>
  </r>
  <r>
    <x v="210"/>
    <x v="3"/>
    <x v="1"/>
    <x v="3"/>
    <x v="0"/>
    <n v="130"/>
    <x v="2"/>
    <x v="2"/>
    <x v="164"/>
    <n v="108.39488545658459"/>
  </r>
  <r>
    <x v="211"/>
    <x v="4"/>
    <x v="2"/>
    <x v="4"/>
    <x v="0"/>
    <n v="60"/>
    <x v="0"/>
    <x v="1"/>
    <x v="165"/>
    <n v="142.51547240588835"/>
  </r>
  <r>
    <x v="212"/>
    <x v="0"/>
    <x v="5"/>
    <x v="0"/>
    <x v="0"/>
    <n v="72"/>
    <x v="1"/>
    <x v="5"/>
    <x v="166"/>
    <n v="371.31092775510001"/>
  </r>
  <r>
    <x v="213"/>
    <x v="1"/>
    <x v="3"/>
    <x v="1"/>
    <x v="0"/>
    <n v="65"/>
    <x v="2"/>
    <x v="0"/>
    <x v="167"/>
    <n v="323.06049750225253"/>
  </r>
  <r>
    <x v="214"/>
    <x v="2"/>
    <x v="36"/>
    <x v="2"/>
    <x v="1"/>
    <n v="250"/>
    <x v="0"/>
    <x v="9"/>
    <x v="168"/>
    <n v="142.42205152936228"/>
  </r>
  <r>
    <x v="215"/>
    <x v="3"/>
    <x v="24"/>
    <x v="3"/>
    <x v="0"/>
    <n v="130"/>
    <x v="1"/>
    <x v="5"/>
    <x v="169"/>
    <n v="612.98234900136549"/>
  </r>
  <r>
    <x v="216"/>
    <x v="0"/>
    <x v="21"/>
    <x v="0"/>
    <x v="0"/>
    <n v="72"/>
    <x v="2"/>
    <x v="5"/>
    <x v="170"/>
    <n v="360.9140043049639"/>
  </r>
  <r>
    <x v="217"/>
    <x v="1"/>
    <x v="32"/>
    <x v="1"/>
    <x v="0"/>
    <n v="65"/>
    <x v="0"/>
    <x v="4"/>
    <x v="171"/>
    <n v="193.26604052166184"/>
  </r>
  <r>
    <x v="218"/>
    <x v="2"/>
    <x v="4"/>
    <x v="2"/>
    <x v="0"/>
    <n v="250"/>
    <x v="1"/>
    <x v="2"/>
    <x v="172"/>
    <n v="73.798261586800137"/>
  </r>
  <r>
    <x v="219"/>
    <x v="3"/>
    <x v="2"/>
    <x v="3"/>
    <x v="0"/>
    <n v="130"/>
    <x v="2"/>
    <x v="9"/>
    <x v="173"/>
    <n v="176.75714318966627"/>
  </r>
  <r>
    <x v="220"/>
    <x v="4"/>
    <x v="27"/>
    <x v="4"/>
    <x v="1"/>
    <n v="60"/>
    <x v="0"/>
    <x v="6"/>
    <x v="174"/>
    <n v="467.10836736624913"/>
  </r>
  <r>
    <x v="221"/>
    <x v="5"/>
    <x v="0"/>
    <x v="5"/>
    <x v="0"/>
    <n v="95"/>
    <x v="1"/>
    <x v="3"/>
    <x v="175"/>
    <n v="38.999429743170126"/>
  </r>
  <r>
    <x v="222"/>
    <x v="0"/>
    <x v="1"/>
    <x v="0"/>
    <x v="0"/>
    <n v="72"/>
    <x v="2"/>
    <x v="2"/>
    <x v="176"/>
    <n v="4.2730711010160345"/>
  </r>
  <r>
    <x v="223"/>
    <x v="1"/>
    <x v="28"/>
    <x v="1"/>
    <x v="0"/>
    <n v="65"/>
    <x v="0"/>
    <x v="1"/>
    <x v="177"/>
    <n v="424.35381699325023"/>
  </r>
  <r>
    <x v="224"/>
    <x v="2"/>
    <x v="8"/>
    <x v="2"/>
    <x v="1"/>
    <n v="250"/>
    <x v="1"/>
    <x v="9"/>
    <x v="178"/>
    <n v="250.46363933058285"/>
  </r>
  <r>
    <x v="225"/>
    <x v="3"/>
    <x v="33"/>
    <x v="3"/>
    <x v="1"/>
    <n v="130"/>
    <x v="2"/>
    <x v="3"/>
    <x v="179"/>
    <n v="250.46795501266632"/>
  </r>
  <r>
    <x v="226"/>
    <x v="0"/>
    <x v="14"/>
    <x v="0"/>
    <x v="1"/>
    <n v="72"/>
    <x v="0"/>
    <x v="1"/>
    <x v="180"/>
    <n v="27.015414023966066"/>
  </r>
  <r>
    <x v="227"/>
    <x v="1"/>
    <x v="16"/>
    <x v="1"/>
    <x v="1"/>
    <n v="65"/>
    <x v="1"/>
    <x v="14"/>
    <x v="181"/>
    <n v="31.403685050285386"/>
  </r>
  <r>
    <x v="228"/>
    <x v="2"/>
    <x v="17"/>
    <x v="2"/>
    <x v="1"/>
    <n v="250"/>
    <x v="2"/>
    <x v="9"/>
    <x v="182"/>
    <n v="220.2056596130289"/>
  </r>
  <r>
    <x v="229"/>
    <x v="3"/>
    <x v="17"/>
    <x v="3"/>
    <x v="1"/>
    <n v="130"/>
    <x v="0"/>
    <x v="9"/>
    <x v="183"/>
    <n v="49.389764639369588"/>
  </r>
  <r>
    <x v="230"/>
    <x v="0"/>
    <x v="5"/>
    <x v="0"/>
    <x v="1"/>
    <n v="72"/>
    <x v="0"/>
    <x v="7"/>
    <x v="184"/>
    <n v="557.71137495428343"/>
  </r>
  <r>
    <x v="231"/>
    <x v="1"/>
    <x v="16"/>
    <x v="1"/>
    <x v="0"/>
    <n v="65"/>
    <x v="1"/>
    <x v="12"/>
    <x v="185"/>
    <n v="465.49739230042059"/>
  </r>
  <r>
    <x v="232"/>
    <x v="2"/>
    <x v="1"/>
    <x v="2"/>
    <x v="0"/>
    <n v="250"/>
    <x v="2"/>
    <x v="9"/>
    <x v="186"/>
    <n v="238.60210774233403"/>
  </r>
  <r>
    <x v="233"/>
    <x v="3"/>
    <x v="18"/>
    <x v="3"/>
    <x v="0"/>
    <n v="130"/>
    <x v="0"/>
    <x v="2"/>
    <x v="187"/>
    <n v="118.49023704237366"/>
  </r>
  <r>
    <x v="234"/>
    <x v="0"/>
    <x v="3"/>
    <x v="0"/>
    <x v="1"/>
    <n v="72"/>
    <x v="1"/>
    <x v="5"/>
    <x v="188"/>
    <n v="191.64231036540727"/>
  </r>
  <r>
    <x v="235"/>
    <x v="1"/>
    <x v="19"/>
    <x v="1"/>
    <x v="1"/>
    <n v="65"/>
    <x v="2"/>
    <x v="0"/>
    <x v="189"/>
    <n v="479.37100010882472"/>
  </r>
  <r>
    <x v="236"/>
    <x v="2"/>
    <x v="20"/>
    <x v="2"/>
    <x v="1"/>
    <n v="250"/>
    <x v="0"/>
    <x v="11"/>
    <x v="190"/>
    <n v="155.54221828080341"/>
  </r>
  <r>
    <x v="237"/>
    <x v="3"/>
    <x v="21"/>
    <x v="3"/>
    <x v="1"/>
    <n v="130"/>
    <x v="1"/>
    <x v="1"/>
    <x v="191"/>
    <n v="598.77140637584023"/>
  </r>
  <r>
    <x v="238"/>
    <x v="4"/>
    <x v="22"/>
    <x v="4"/>
    <x v="1"/>
    <n v="60"/>
    <x v="2"/>
    <x v="12"/>
    <x v="192"/>
    <n v="47.929355477085359"/>
  </r>
  <r>
    <x v="239"/>
    <x v="0"/>
    <x v="23"/>
    <x v="0"/>
    <x v="1"/>
    <n v="72"/>
    <x v="0"/>
    <x v="5"/>
    <x v="193"/>
    <n v="13.224957760157197"/>
  </r>
  <r>
    <x v="240"/>
    <x v="1"/>
    <x v="24"/>
    <x v="1"/>
    <x v="1"/>
    <n v="65"/>
    <x v="1"/>
    <x v="5"/>
    <x v="194"/>
    <n v="294.81539947468298"/>
  </r>
  <r>
    <x v="241"/>
    <x v="2"/>
    <x v="16"/>
    <x v="2"/>
    <x v="0"/>
    <n v="250"/>
    <x v="2"/>
    <x v="9"/>
    <x v="195"/>
    <n v="34.471087872607001"/>
  </r>
  <r>
    <x v="242"/>
    <x v="3"/>
    <x v="25"/>
    <x v="3"/>
    <x v="0"/>
    <n v="130"/>
    <x v="0"/>
    <x v="4"/>
    <x v="196"/>
    <n v="168.63480821438174"/>
  </r>
  <r>
    <x v="243"/>
    <x v="0"/>
    <x v="6"/>
    <x v="0"/>
    <x v="0"/>
    <n v="72"/>
    <x v="1"/>
    <x v="1"/>
    <x v="197"/>
    <n v="44.38736780915697"/>
  </r>
  <r>
    <x v="244"/>
    <x v="1"/>
    <x v="2"/>
    <x v="1"/>
    <x v="1"/>
    <n v="65"/>
    <x v="2"/>
    <x v="8"/>
    <x v="198"/>
    <n v="453.64998277282012"/>
  </r>
  <r>
    <x v="245"/>
    <x v="2"/>
    <x v="26"/>
    <x v="2"/>
    <x v="1"/>
    <n v="250"/>
    <x v="0"/>
    <x v="11"/>
    <x v="199"/>
    <n v="236.6174443593716"/>
  </r>
  <r>
    <x v="246"/>
    <x v="3"/>
    <x v="4"/>
    <x v="3"/>
    <x v="1"/>
    <n v="130"/>
    <x v="1"/>
    <x v="9"/>
    <x v="200"/>
    <n v="233.64792137307862"/>
  </r>
  <r>
    <x v="247"/>
    <x v="4"/>
    <x v="27"/>
    <x v="4"/>
    <x v="1"/>
    <n v="60"/>
    <x v="2"/>
    <x v="14"/>
    <x v="201"/>
    <n v="507.52081907858042"/>
  </r>
  <r>
    <x v="248"/>
    <x v="5"/>
    <x v="15"/>
    <x v="5"/>
    <x v="1"/>
    <n v="95"/>
    <x v="0"/>
    <x v="4"/>
    <x v="202"/>
    <n v="3.2405287639259694"/>
  </r>
  <r>
    <x v="249"/>
    <x v="0"/>
    <x v="28"/>
    <x v="0"/>
    <x v="1"/>
    <n v="72"/>
    <x v="1"/>
    <x v="4"/>
    <x v="203"/>
    <n v="210.83747950589887"/>
  </r>
  <r>
    <x v="250"/>
    <x v="1"/>
    <x v="8"/>
    <x v="1"/>
    <x v="1"/>
    <n v="65"/>
    <x v="2"/>
    <x v="1"/>
    <x v="204"/>
    <n v="148.3289216154713"/>
  </r>
  <r>
    <x v="251"/>
    <x v="2"/>
    <x v="6"/>
    <x v="2"/>
    <x v="0"/>
    <n v="250"/>
    <x v="0"/>
    <x v="9"/>
    <x v="205"/>
    <n v="446.10493716292228"/>
  </r>
  <r>
    <x v="252"/>
    <x v="3"/>
    <x v="27"/>
    <x v="3"/>
    <x v="0"/>
    <n v="130"/>
    <x v="1"/>
    <x v="4"/>
    <x v="206"/>
    <n v="485.77057768852131"/>
  </r>
  <r>
    <x v="253"/>
    <x v="0"/>
    <x v="10"/>
    <x v="0"/>
    <x v="0"/>
    <n v="72"/>
    <x v="2"/>
    <x v="12"/>
    <x v="207"/>
    <n v="505.55448915437546"/>
  </r>
  <r>
    <x v="254"/>
    <x v="1"/>
    <x v="29"/>
    <x v="1"/>
    <x v="1"/>
    <n v="65"/>
    <x v="0"/>
    <x v="6"/>
    <x v="208"/>
    <n v="493.67402539235451"/>
  </r>
  <r>
    <x v="255"/>
    <x v="2"/>
    <x v="30"/>
    <x v="2"/>
    <x v="1"/>
    <n v="250"/>
    <x v="1"/>
    <x v="9"/>
    <x v="209"/>
    <n v="440.5351852603074"/>
  </r>
  <r>
    <x v="256"/>
    <x v="3"/>
    <x v="31"/>
    <x v="3"/>
    <x v="1"/>
    <n v="130"/>
    <x v="2"/>
    <x v="3"/>
    <x v="210"/>
    <n v="37.839759864736088"/>
  </r>
  <r>
    <x v="257"/>
    <x v="4"/>
    <x v="27"/>
    <x v="4"/>
    <x v="1"/>
    <n v="60"/>
    <x v="0"/>
    <x v="3"/>
    <x v="211"/>
    <n v="53.326828229342937"/>
  </r>
  <r>
    <x v="258"/>
    <x v="0"/>
    <x v="29"/>
    <x v="0"/>
    <x v="1"/>
    <n v="72"/>
    <x v="1"/>
    <x v="14"/>
    <x v="212"/>
    <n v="708.85941420470681"/>
  </r>
  <r>
    <x v="259"/>
    <x v="1"/>
    <x v="1"/>
    <x v="1"/>
    <x v="1"/>
    <n v="65"/>
    <x v="2"/>
    <x v="2"/>
    <x v="213"/>
    <n v="83.845730508373208"/>
  </r>
  <r>
    <x v="260"/>
    <x v="2"/>
    <x v="11"/>
    <x v="2"/>
    <x v="0"/>
    <n v="250"/>
    <x v="0"/>
    <x v="2"/>
    <x v="214"/>
    <n v="583.73157403107348"/>
  </r>
  <r>
    <x v="261"/>
    <x v="3"/>
    <x v="5"/>
    <x v="3"/>
    <x v="1"/>
    <n v="130"/>
    <x v="1"/>
    <x v="5"/>
    <x v="215"/>
    <n v="652.64384122585955"/>
  </r>
  <r>
    <x v="262"/>
    <x v="0"/>
    <x v="2"/>
    <x v="0"/>
    <x v="0"/>
    <n v="72"/>
    <x v="2"/>
    <x v="6"/>
    <x v="216"/>
    <n v="185.12161692680627"/>
  </r>
  <r>
    <x v="263"/>
    <x v="1"/>
    <x v="31"/>
    <x v="1"/>
    <x v="1"/>
    <n v="65"/>
    <x v="0"/>
    <x v="1"/>
    <x v="217"/>
    <n v="190.41071587544056"/>
  </r>
  <r>
    <x v="264"/>
    <x v="2"/>
    <x v="3"/>
    <x v="2"/>
    <x v="0"/>
    <n v="250"/>
    <x v="1"/>
    <x v="11"/>
    <x v="218"/>
    <n v="14.936249785386158"/>
  </r>
  <r>
    <x v="265"/>
    <x v="3"/>
    <x v="25"/>
    <x v="3"/>
    <x v="1"/>
    <n v="130"/>
    <x v="2"/>
    <x v="2"/>
    <x v="219"/>
    <n v="55.785569839832647"/>
  </r>
  <r>
    <x v="266"/>
    <x v="4"/>
    <x v="7"/>
    <x v="4"/>
    <x v="0"/>
    <n v="60"/>
    <x v="0"/>
    <x v="5"/>
    <x v="220"/>
    <n v="94.663185724664416"/>
  </r>
  <r>
    <x v="267"/>
    <x v="5"/>
    <x v="25"/>
    <x v="5"/>
    <x v="1"/>
    <n v="95"/>
    <x v="1"/>
    <x v="3"/>
    <x v="221"/>
    <n v="2.1057958193310631"/>
  </r>
  <r>
    <x v="268"/>
    <x v="0"/>
    <x v="32"/>
    <x v="0"/>
    <x v="0"/>
    <n v="72"/>
    <x v="2"/>
    <x v="0"/>
    <x v="222"/>
    <n v="101.74327035871111"/>
  </r>
  <r>
    <x v="269"/>
    <x v="1"/>
    <x v="33"/>
    <x v="1"/>
    <x v="1"/>
    <n v="65"/>
    <x v="0"/>
    <x v="8"/>
    <x v="223"/>
    <n v="663.91770781084324"/>
  </r>
  <r>
    <x v="270"/>
    <x v="2"/>
    <x v="33"/>
    <x v="2"/>
    <x v="0"/>
    <n v="250"/>
    <x v="1"/>
    <x v="9"/>
    <x v="224"/>
    <n v="7.0876815644378972"/>
  </r>
  <r>
    <x v="271"/>
    <x v="3"/>
    <x v="22"/>
    <x v="3"/>
    <x v="1"/>
    <n v="130"/>
    <x v="2"/>
    <x v="5"/>
    <x v="225"/>
    <n v="763.78547153672878"/>
  </r>
  <r>
    <x v="272"/>
    <x v="0"/>
    <x v="34"/>
    <x v="0"/>
    <x v="0"/>
    <n v="72"/>
    <x v="0"/>
    <x v="0"/>
    <x v="226"/>
    <n v="343.120806656247"/>
  </r>
  <r>
    <x v="273"/>
    <x v="1"/>
    <x v="7"/>
    <x v="1"/>
    <x v="1"/>
    <n v="65"/>
    <x v="1"/>
    <x v="5"/>
    <x v="227"/>
    <n v="53.707148756155526"/>
  </r>
  <r>
    <x v="274"/>
    <x v="2"/>
    <x v="3"/>
    <x v="2"/>
    <x v="0"/>
    <n v="250"/>
    <x v="2"/>
    <x v="2"/>
    <x v="228"/>
    <n v="597.99599803204728"/>
  </r>
  <r>
    <x v="275"/>
    <x v="3"/>
    <x v="31"/>
    <x v="0"/>
    <x v="1"/>
    <n v="72"/>
    <x v="0"/>
    <x v="5"/>
    <x v="229"/>
    <n v="247.44385182284793"/>
  </r>
  <r>
    <x v="276"/>
    <x v="0"/>
    <x v="4"/>
    <x v="1"/>
    <x v="0"/>
    <n v="65"/>
    <x v="0"/>
    <x v="8"/>
    <x v="230"/>
    <n v="108.93613274591662"/>
  </r>
  <r>
    <x v="277"/>
    <x v="1"/>
    <x v="34"/>
    <x v="2"/>
    <x v="1"/>
    <n v="250"/>
    <x v="1"/>
    <x v="11"/>
    <x v="231"/>
    <n v="243.41049757076084"/>
  </r>
  <r>
    <x v="278"/>
    <x v="2"/>
    <x v="13"/>
    <x v="3"/>
    <x v="1"/>
    <n v="130"/>
    <x v="2"/>
    <x v="2"/>
    <x v="232"/>
    <n v="86.705635612632648"/>
  </r>
  <r>
    <x v="279"/>
    <x v="3"/>
    <x v="35"/>
    <x v="0"/>
    <x v="1"/>
    <n v="72"/>
    <x v="0"/>
    <x v="2"/>
    <x v="233"/>
    <n v="67.645659288727757"/>
  </r>
  <r>
    <x v="280"/>
    <x v="0"/>
    <x v="2"/>
    <x v="1"/>
    <x v="1"/>
    <n v="65"/>
    <x v="1"/>
    <x v="10"/>
    <x v="234"/>
    <n v="379.75109953800046"/>
  </r>
  <r>
    <x v="281"/>
    <x v="1"/>
    <x v="13"/>
    <x v="2"/>
    <x v="1"/>
    <n v="250"/>
    <x v="2"/>
    <x v="2"/>
    <x v="235"/>
    <n v="417.45068793209413"/>
  </r>
  <r>
    <x v="282"/>
    <x v="2"/>
    <x v="18"/>
    <x v="3"/>
    <x v="0"/>
    <n v="130"/>
    <x v="0"/>
    <x v="2"/>
    <x v="236"/>
    <n v="340.95735643974888"/>
  </r>
  <r>
    <x v="283"/>
    <x v="3"/>
    <x v="23"/>
    <x v="4"/>
    <x v="1"/>
    <n v="60"/>
    <x v="1"/>
    <x v="8"/>
    <x v="237"/>
    <n v="324.13864773087647"/>
  </r>
  <r>
    <x v="284"/>
    <x v="4"/>
    <x v="36"/>
    <x v="0"/>
    <x v="0"/>
    <n v="72"/>
    <x v="2"/>
    <x v="12"/>
    <x v="238"/>
    <n v="631.46287965513329"/>
  </r>
  <r>
    <x v="285"/>
    <x v="0"/>
    <x v="37"/>
    <x v="1"/>
    <x v="1"/>
    <n v="65"/>
    <x v="0"/>
    <x v="3"/>
    <x v="239"/>
    <n v="212.58745960403161"/>
  </r>
  <r>
    <x v="286"/>
    <x v="1"/>
    <x v="4"/>
    <x v="2"/>
    <x v="0"/>
    <n v="250"/>
    <x v="1"/>
    <x v="2"/>
    <x v="240"/>
    <n v="413.52696500633255"/>
  </r>
  <r>
    <x v="287"/>
    <x v="2"/>
    <x v="3"/>
    <x v="3"/>
    <x v="1"/>
    <n v="130"/>
    <x v="2"/>
    <x v="9"/>
    <x v="241"/>
    <n v="152.89127806716238"/>
  </r>
  <r>
    <x v="288"/>
    <x v="3"/>
    <x v="35"/>
    <x v="0"/>
    <x v="0"/>
    <n v="72"/>
    <x v="0"/>
    <x v="14"/>
    <x v="242"/>
    <n v="153.99375633671099"/>
  </r>
  <r>
    <x v="289"/>
    <x v="0"/>
    <x v="11"/>
    <x v="1"/>
    <x v="1"/>
    <n v="65"/>
    <x v="1"/>
    <x v="7"/>
    <x v="243"/>
    <n v="139.67049632238107"/>
  </r>
  <r>
    <x v="290"/>
    <x v="1"/>
    <x v="10"/>
    <x v="2"/>
    <x v="0"/>
    <n v="250"/>
    <x v="2"/>
    <x v="2"/>
    <x v="244"/>
    <n v="325.87081127892293"/>
  </r>
  <r>
    <x v="291"/>
    <x v="2"/>
    <x v="1"/>
    <x v="3"/>
    <x v="1"/>
    <n v="130"/>
    <x v="0"/>
    <x v="4"/>
    <x v="245"/>
    <n v="270.39168305225633"/>
  </r>
  <r>
    <x v="292"/>
    <x v="3"/>
    <x v="17"/>
    <x v="4"/>
    <x v="0"/>
    <n v="60"/>
    <x v="1"/>
    <x v="6"/>
    <x v="246"/>
    <n v="104.2008607493198"/>
  </r>
  <r>
    <x v="293"/>
    <x v="4"/>
    <x v="17"/>
    <x v="5"/>
    <x v="1"/>
    <n v="95"/>
    <x v="2"/>
    <x v="5"/>
    <x v="247"/>
    <n v="493.20416635158944"/>
  </r>
  <r>
    <x v="294"/>
    <x v="5"/>
    <x v="37"/>
    <x v="0"/>
    <x v="0"/>
    <n v="72"/>
    <x v="0"/>
    <x v="6"/>
    <x v="248"/>
    <n v="299.7956155491363"/>
  </r>
  <r>
    <x v="295"/>
    <x v="0"/>
    <x v="4"/>
    <x v="1"/>
    <x v="1"/>
    <n v="65"/>
    <x v="1"/>
    <x v="14"/>
    <x v="249"/>
    <n v="87.793850800368105"/>
  </r>
  <r>
    <x v="296"/>
    <x v="1"/>
    <x v="2"/>
    <x v="2"/>
    <x v="0"/>
    <n v="250"/>
    <x v="2"/>
    <x v="9"/>
    <x v="250"/>
    <n v="426.82403373816322"/>
  </r>
  <r>
    <x v="297"/>
    <x v="2"/>
    <x v="12"/>
    <x v="3"/>
    <x v="1"/>
    <n v="130"/>
    <x v="0"/>
    <x v="3"/>
    <x v="251"/>
    <n v="325.45359214223441"/>
  </r>
  <r>
    <x v="298"/>
    <x v="3"/>
    <x v="0"/>
    <x v="0"/>
    <x v="0"/>
    <n v="72"/>
    <x v="1"/>
    <x v="4"/>
    <x v="252"/>
    <n v="239.73013665487071"/>
  </r>
  <r>
    <x v="299"/>
    <x v="0"/>
    <x v="38"/>
    <x v="1"/>
    <x v="1"/>
    <n v="65"/>
    <x v="2"/>
    <x v="8"/>
    <x v="253"/>
    <n v="363.00869064263952"/>
  </r>
  <r>
    <x v="300"/>
    <x v="1"/>
    <x v="1"/>
    <x v="2"/>
    <x v="1"/>
    <n v="250"/>
    <x v="0"/>
    <x v="9"/>
    <x v="254"/>
    <n v="323.79763553158705"/>
  </r>
  <r>
    <x v="301"/>
    <x v="2"/>
    <x v="2"/>
    <x v="3"/>
    <x v="1"/>
    <n v="130"/>
    <x v="1"/>
    <x v="2"/>
    <x v="255"/>
    <n v="346.28844059065511"/>
  </r>
  <r>
    <x v="302"/>
    <x v="3"/>
    <x v="5"/>
    <x v="4"/>
    <x v="1"/>
    <n v="60"/>
    <x v="2"/>
    <x v="14"/>
    <x v="256"/>
    <n v="252.9651921173992"/>
  </r>
  <r>
    <x v="303"/>
    <x v="4"/>
    <x v="3"/>
    <x v="0"/>
    <x v="1"/>
    <n v="72"/>
    <x v="0"/>
    <x v="6"/>
    <x v="257"/>
    <n v="526.26952385224297"/>
  </r>
  <r>
    <x v="304"/>
    <x v="0"/>
    <x v="36"/>
    <x v="1"/>
    <x v="0"/>
    <n v="65"/>
    <x v="1"/>
    <x v="0"/>
    <x v="258"/>
    <n v="159.97910808630473"/>
  </r>
  <r>
    <x v="305"/>
    <x v="1"/>
    <x v="24"/>
    <x v="2"/>
    <x v="1"/>
    <n v="250"/>
    <x v="2"/>
    <x v="2"/>
    <x v="259"/>
    <n v="201.51708962717461"/>
  </r>
  <r>
    <x v="306"/>
    <x v="2"/>
    <x v="21"/>
    <x v="3"/>
    <x v="0"/>
    <n v="130"/>
    <x v="0"/>
    <x v="2"/>
    <x v="260"/>
    <n v="235.35994968234377"/>
  </r>
  <r>
    <x v="307"/>
    <x v="3"/>
    <x v="32"/>
    <x v="0"/>
    <x v="1"/>
    <n v="72"/>
    <x v="1"/>
    <x v="3"/>
    <x v="261"/>
    <n v="190.60814175773362"/>
  </r>
  <r>
    <x v="308"/>
    <x v="0"/>
    <x v="4"/>
    <x v="1"/>
    <x v="0"/>
    <n v="65"/>
    <x v="2"/>
    <x v="6"/>
    <x v="262"/>
    <n v="57.188146518569312"/>
  </r>
  <r>
    <x v="309"/>
    <x v="1"/>
    <x v="2"/>
    <x v="2"/>
    <x v="1"/>
    <n v="250"/>
    <x v="0"/>
    <x v="11"/>
    <x v="263"/>
    <n v="187.35507778815409"/>
  </r>
  <r>
    <x v="310"/>
    <x v="2"/>
    <x v="27"/>
    <x v="3"/>
    <x v="0"/>
    <n v="130"/>
    <x v="1"/>
    <x v="4"/>
    <x v="264"/>
    <n v="224.16021201766861"/>
  </r>
  <r>
    <x v="311"/>
    <x v="3"/>
    <x v="0"/>
    <x v="4"/>
    <x v="1"/>
    <n v="60"/>
    <x v="2"/>
    <x v="5"/>
    <x v="265"/>
    <n v="347.91441790529979"/>
  </r>
  <r>
    <x v="312"/>
    <x v="4"/>
    <x v="1"/>
    <x v="5"/>
    <x v="0"/>
    <n v="95"/>
    <x v="0"/>
    <x v="4"/>
    <x v="266"/>
    <n v="335.17125056513527"/>
  </r>
  <r>
    <x v="313"/>
    <x v="5"/>
    <x v="28"/>
    <x v="0"/>
    <x v="1"/>
    <n v="72"/>
    <x v="1"/>
    <x v="0"/>
    <x v="267"/>
    <n v="559.77040168430472"/>
  </r>
  <r>
    <x v="314"/>
    <x v="0"/>
    <x v="8"/>
    <x v="1"/>
    <x v="0"/>
    <n v="65"/>
    <x v="2"/>
    <x v="0"/>
    <x v="268"/>
    <n v="171.90608902605379"/>
  </r>
  <r>
    <x v="315"/>
    <x v="1"/>
    <x v="33"/>
    <x v="2"/>
    <x v="1"/>
    <n v="250"/>
    <x v="0"/>
    <x v="9"/>
    <x v="269"/>
    <n v="317.7591375222911"/>
  </r>
  <r>
    <x v="316"/>
    <x v="2"/>
    <x v="14"/>
    <x v="3"/>
    <x v="0"/>
    <n v="130"/>
    <x v="1"/>
    <x v="1"/>
    <x v="270"/>
    <n v="769.70995641467414"/>
  </r>
  <r>
    <x v="317"/>
    <x v="3"/>
    <x v="16"/>
    <x v="0"/>
    <x v="1"/>
    <n v="72"/>
    <x v="2"/>
    <x v="1"/>
    <x v="271"/>
    <n v="168.10108748877553"/>
  </r>
  <r>
    <x v="318"/>
    <x v="0"/>
    <x v="17"/>
    <x v="1"/>
    <x v="0"/>
    <n v="65"/>
    <x v="0"/>
    <x v="4"/>
    <x v="272"/>
    <n v="80.122244710941487"/>
  </r>
  <r>
    <x v="319"/>
    <x v="1"/>
    <x v="17"/>
    <x v="2"/>
    <x v="1"/>
    <n v="250"/>
    <x v="1"/>
    <x v="9"/>
    <x v="273"/>
    <n v="426.75200204382656"/>
  </r>
  <r>
    <x v="320"/>
    <x v="2"/>
    <x v="5"/>
    <x v="3"/>
    <x v="0"/>
    <n v="130"/>
    <x v="2"/>
    <x v="9"/>
    <x v="274"/>
    <n v="3.7943477458535635"/>
  </r>
  <r>
    <x v="321"/>
    <x v="3"/>
    <x v="16"/>
    <x v="0"/>
    <x v="1"/>
    <n v="72"/>
    <x v="0"/>
    <x v="6"/>
    <x v="275"/>
    <n v="440.04824163208923"/>
  </r>
  <r>
    <x v="322"/>
    <x v="0"/>
    <x v="1"/>
    <x v="1"/>
    <x v="1"/>
    <n v="65"/>
    <x v="0"/>
    <x v="6"/>
    <x v="276"/>
    <n v="32.201944460737423"/>
  </r>
  <r>
    <x v="323"/>
    <x v="1"/>
    <x v="18"/>
    <x v="2"/>
    <x v="1"/>
    <n v="250"/>
    <x v="1"/>
    <x v="9"/>
    <x v="277"/>
    <n v="245.46625986400167"/>
  </r>
  <r>
    <x v="324"/>
    <x v="2"/>
    <x v="3"/>
    <x v="3"/>
    <x v="1"/>
    <n v="130"/>
    <x v="2"/>
    <x v="4"/>
    <x v="278"/>
    <n v="176.49292301312747"/>
  </r>
  <r>
    <x v="325"/>
    <x v="3"/>
    <x v="19"/>
    <x v="0"/>
    <x v="1"/>
    <n v="72"/>
    <x v="0"/>
    <x v="0"/>
    <x v="279"/>
    <n v="59.814135914670054"/>
  </r>
  <r>
    <x v="326"/>
    <x v="0"/>
    <x v="20"/>
    <x v="1"/>
    <x v="0"/>
    <n v="65"/>
    <x v="1"/>
    <x v="0"/>
    <x v="280"/>
    <n v="450.34599088554143"/>
  </r>
  <r>
    <x v="327"/>
    <x v="1"/>
    <x v="21"/>
    <x v="2"/>
    <x v="1"/>
    <n v="250"/>
    <x v="2"/>
    <x v="4"/>
    <x v="281"/>
    <n v="617.62027020015319"/>
  </r>
  <r>
    <x v="328"/>
    <x v="2"/>
    <x v="22"/>
    <x v="3"/>
    <x v="0"/>
    <n v="130"/>
    <x v="0"/>
    <x v="9"/>
    <x v="282"/>
    <n v="220.80805343651056"/>
  </r>
  <r>
    <x v="329"/>
    <x v="3"/>
    <x v="23"/>
    <x v="4"/>
    <x v="1"/>
    <n v="60"/>
    <x v="1"/>
    <x v="14"/>
    <x v="283"/>
    <n v="21.629230512581167"/>
  </r>
  <r>
    <x v="330"/>
    <x v="4"/>
    <x v="24"/>
    <x v="0"/>
    <x v="0"/>
    <n v="72"/>
    <x v="2"/>
    <x v="3"/>
    <x v="284"/>
    <n v="21.9812986595357"/>
  </r>
  <r>
    <x v="331"/>
    <x v="0"/>
    <x v="16"/>
    <x v="1"/>
    <x v="1"/>
    <n v="65"/>
    <x v="0"/>
    <x v="1"/>
    <x v="285"/>
    <n v="43.974518867872568"/>
  </r>
  <r>
    <x v="332"/>
    <x v="1"/>
    <x v="25"/>
    <x v="2"/>
    <x v="0"/>
    <n v="250"/>
    <x v="1"/>
    <x v="9"/>
    <x v="286"/>
    <n v="188.95111339002057"/>
  </r>
  <r>
    <x v="333"/>
    <x v="2"/>
    <x v="6"/>
    <x v="3"/>
    <x v="1"/>
    <n v="130"/>
    <x v="2"/>
    <x v="3"/>
    <x v="287"/>
    <n v="609.9100862117923"/>
  </r>
  <r>
    <x v="334"/>
    <x v="3"/>
    <x v="2"/>
    <x v="0"/>
    <x v="0"/>
    <n v="72"/>
    <x v="0"/>
    <x v="7"/>
    <x v="288"/>
    <n v="438.79517581748138"/>
  </r>
  <r>
    <x v="335"/>
    <x v="0"/>
    <x v="26"/>
    <x v="1"/>
    <x v="1"/>
    <n v="65"/>
    <x v="1"/>
    <x v="6"/>
    <x v="289"/>
    <n v="178.11663488192971"/>
  </r>
  <r>
    <x v="336"/>
    <x v="1"/>
    <x v="4"/>
    <x v="2"/>
    <x v="0"/>
    <n v="250"/>
    <x v="2"/>
    <x v="4"/>
    <x v="290"/>
    <n v="454.71092721645891"/>
  </r>
  <r>
    <x v="337"/>
    <x v="2"/>
    <x v="27"/>
    <x v="3"/>
    <x v="1"/>
    <n v="130"/>
    <x v="0"/>
    <x v="4"/>
    <x v="291"/>
    <n v="336.96241000123149"/>
  </r>
  <r>
    <x v="338"/>
    <x v="3"/>
    <x v="15"/>
    <x v="4"/>
    <x v="0"/>
    <n v="60"/>
    <x v="1"/>
    <x v="5"/>
    <x v="292"/>
    <n v="338.29468789352433"/>
  </r>
  <r>
    <x v="339"/>
    <x v="4"/>
    <x v="28"/>
    <x v="5"/>
    <x v="1"/>
    <n v="95"/>
    <x v="2"/>
    <x v="1"/>
    <x v="293"/>
    <n v="637.44608590766916"/>
  </r>
  <r>
    <x v="340"/>
    <x v="5"/>
    <x v="8"/>
    <x v="0"/>
    <x v="0"/>
    <n v="72"/>
    <x v="0"/>
    <x v="2"/>
    <x v="294"/>
    <n v="152.24484624943636"/>
  </r>
  <r>
    <x v="341"/>
    <x v="0"/>
    <x v="6"/>
    <x v="1"/>
    <x v="1"/>
    <n v="65"/>
    <x v="1"/>
    <x v="4"/>
    <x v="295"/>
    <n v="82.798834195689878"/>
  </r>
  <r>
    <x v="342"/>
    <x v="1"/>
    <x v="27"/>
    <x v="2"/>
    <x v="0"/>
    <n v="250"/>
    <x v="2"/>
    <x v="11"/>
    <x v="296"/>
    <n v="118.41913369925652"/>
  </r>
  <r>
    <x v="343"/>
    <x v="2"/>
    <x v="10"/>
    <x v="3"/>
    <x v="1"/>
    <n v="130"/>
    <x v="0"/>
    <x v="5"/>
    <x v="297"/>
    <n v="737.53860343524127"/>
  </r>
  <r>
    <x v="344"/>
    <x v="3"/>
    <x v="29"/>
    <x v="0"/>
    <x v="1"/>
    <n v="72"/>
    <x v="1"/>
    <x v="14"/>
    <x v="298"/>
    <n v="33.474680336340732"/>
  </r>
  <r>
    <x v="345"/>
    <x v="0"/>
    <x v="30"/>
    <x v="1"/>
    <x v="1"/>
    <n v="65"/>
    <x v="2"/>
    <x v="4"/>
    <x v="299"/>
    <n v="138.5107064947419"/>
  </r>
  <r>
    <x v="346"/>
    <x v="1"/>
    <x v="31"/>
    <x v="2"/>
    <x v="1"/>
    <n v="250"/>
    <x v="0"/>
    <x v="9"/>
    <x v="300"/>
    <n v="199.24550921940065"/>
  </r>
  <r>
    <x v="347"/>
    <x v="2"/>
    <x v="27"/>
    <x v="3"/>
    <x v="1"/>
    <n v="130"/>
    <x v="1"/>
    <x v="1"/>
    <x v="301"/>
    <n v="753.85524084609062"/>
  </r>
  <r>
    <x v="348"/>
    <x v="3"/>
    <x v="29"/>
    <x v="4"/>
    <x v="0"/>
    <n v="60"/>
    <x v="2"/>
    <x v="12"/>
    <x v="302"/>
    <n v="364.77506419132095"/>
  </r>
  <r>
    <x v="349"/>
    <x v="4"/>
    <x v="1"/>
    <x v="0"/>
    <x v="1"/>
    <n v="72"/>
    <x v="0"/>
    <x v="0"/>
    <x v="303"/>
    <n v="263.53755042648072"/>
  </r>
  <r>
    <x v="350"/>
    <x v="0"/>
    <x v="11"/>
    <x v="1"/>
    <x v="0"/>
    <n v="65"/>
    <x v="1"/>
    <x v="12"/>
    <x v="304"/>
    <n v="354.03364462681645"/>
  </r>
  <r>
    <x v="351"/>
    <x v="1"/>
    <x v="5"/>
    <x v="2"/>
    <x v="1"/>
    <n v="250"/>
    <x v="2"/>
    <x v="4"/>
    <x v="305"/>
    <n v="907.68325257870447"/>
  </r>
  <r>
    <x v="352"/>
    <x v="2"/>
    <x v="2"/>
    <x v="3"/>
    <x v="0"/>
    <n v="130"/>
    <x v="0"/>
    <x v="1"/>
    <x v="306"/>
    <n v="592.34136531837339"/>
  </r>
  <r>
    <x v="353"/>
    <x v="3"/>
    <x v="31"/>
    <x v="0"/>
    <x v="1"/>
    <n v="72"/>
    <x v="1"/>
    <x v="4"/>
    <x v="307"/>
    <n v="28.708348087536137"/>
  </r>
  <r>
    <x v="354"/>
    <x v="0"/>
    <x v="3"/>
    <x v="1"/>
    <x v="0"/>
    <n v="65"/>
    <x v="2"/>
    <x v="3"/>
    <x v="308"/>
    <n v="266.3352484147461"/>
  </r>
  <r>
    <x v="355"/>
    <x v="1"/>
    <x v="25"/>
    <x v="2"/>
    <x v="1"/>
    <n v="250"/>
    <x v="0"/>
    <x v="11"/>
    <x v="309"/>
    <n v="243.63872679499968"/>
  </r>
  <r>
    <x v="356"/>
    <x v="2"/>
    <x v="7"/>
    <x v="3"/>
    <x v="0"/>
    <n v="130"/>
    <x v="1"/>
    <x v="9"/>
    <x v="310"/>
    <n v="52.926273028965575"/>
  </r>
  <r>
    <x v="357"/>
    <x v="3"/>
    <x v="25"/>
    <x v="4"/>
    <x v="1"/>
    <n v="60"/>
    <x v="2"/>
    <x v="10"/>
    <x v="311"/>
    <n v="704.95140777744632"/>
  </r>
  <r>
    <x v="358"/>
    <x v="4"/>
    <x v="32"/>
    <x v="5"/>
    <x v="0"/>
    <n v="95"/>
    <x v="0"/>
    <x v="6"/>
    <x v="312"/>
    <n v="643.8676938306628"/>
  </r>
  <r>
    <x v="359"/>
    <x v="5"/>
    <x v="33"/>
    <x v="0"/>
    <x v="1"/>
    <n v="72"/>
    <x v="1"/>
    <x v="0"/>
    <x v="313"/>
    <n v="448.42632222678481"/>
  </r>
  <r>
    <x v="360"/>
    <x v="0"/>
    <x v="33"/>
    <x v="1"/>
    <x v="0"/>
    <n v="65"/>
    <x v="2"/>
    <x v="12"/>
    <x v="314"/>
    <n v="204.06924944863977"/>
  </r>
  <r>
    <x v="361"/>
    <x v="1"/>
    <x v="22"/>
    <x v="2"/>
    <x v="1"/>
    <n v="250"/>
    <x v="0"/>
    <x v="4"/>
    <x v="315"/>
    <n v="887.13305511068518"/>
  </r>
  <r>
    <x v="362"/>
    <x v="2"/>
    <x v="34"/>
    <x v="3"/>
    <x v="0"/>
    <n v="130"/>
    <x v="1"/>
    <x v="5"/>
    <x v="316"/>
    <n v="729.07879915352055"/>
  </r>
  <r>
    <x v="363"/>
    <x v="3"/>
    <x v="7"/>
    <x v="0"/>
    <x v="1"/>
    <n v="72"/>
    <x v="2"/>
    <x v="12"/>
    <x v="317"/>
    <n v="422.28052417304366"/>
  </r>
  <r>
    <x v="364"/>
    <x v="0"/>
    <x v="3"/>
    <x v="1"/>
    <x v="0"/>
    <n v="65"/>
    <x v="0"/>
    <x v="6"/>
    <x v="318"/>
    <n v="45.613794597791546"/>
  </r>
  <r>
    <x v="365"/>
    <x v="1"/>
    <x v="31"/>
    <x v="2"/>
    <x v="1"/>
    <n v="250"/>
    <x v="1"/>
    <x v="9"/>
    <x v="319"/>
    <n v="405.79757123136386"/>
  </r>
  <r>
    <x v="366"/>
    <x v="2"/>
    <x v="4"/>
    <x v="3"/>
    <x v="1"/>
    <n v="130"/>
    <x v="2"/>
    <x v="9"/>
    <x v="320"/>
    <n v="187.59761244325605"/>
  </r>
  <r>
    <x v="367"/>
    <x v="0"/>
    <x v="34"/>
    <x v="0"/>
    <x v="1"/>
    <n v="72"/>
    <x v="0"/>
    <x v="14"/>
    <x v="321"/>
    <n v="152.0333900898828"/>
  </r>
  <r>
    <x v="368"/>
    <x v="1"/>
    <x v="13"/>
    <x v="1"/>
    <x v="1"/>
    <n v="65"/>
    <x v="0"/>
    <x v="3"/>
    <x v="322"/>
    <n v="265.52770221608677"/>
  </r>
  <r>
    <x v="369"/>
    <x v="2"/>
    <x v="35"/>
    <x v="2"/>
    <x v="1"/>
    <n v="250"/>
    <x v="1"/>
    <x v="2"/>
    <x v="323"/>
    <n v="595.56213083927253"/>
  </r>
  <r>
    <x v="370"/>
    <x v="3"/>
    <x v="2"/>
    <x v="3"/>
    <x v="0"/>
    <n v="130"/>
    <x v="2"/>
    <x v="9"/>
    <x v="324"/>
    <n v="254.46631642409136"/>
  </r>
  <r>
    <x v="371"/>
    <x v="0"/>
    <x v="13"/>
    <x v="0"/>
    <x v="1"/>
    <n v="72"/>
    <x v="0"/>
    <x v="4"/>
    <x v="325"/>
    <n v="281.4316159623769"/>
  </r>
  <r>
    <x v="372"/>
    <x v="1"/>
    <x v="18"/>
    <x v="1"/>
    <x v="0"/>
    <n v="65"/>
    <x v="1"/>
    <x v="5"/>
    <x v="326"/>
    <n v="130.85196528105368"/>
  </r>
  <r>
    <x v="373"/>
    <x v="2"/>
    <x v="23"/>
    <x v="2"/>
    <x v="1"/>
    <n v="250"/>
    <x v="2"/>
    <x v="2"/>
    <x v="327"/>
    <n v="531.36033563039643"/>
  </r>
  <r>
    <x v="374"/>
    <x v="3"/>
    <x v="36"/>
    <x v="3"/>
    <x v="0"/>
    <n v="130"/>
    <x v="0"/>
    <x v="3"/>
    <x v="328"/>
    <n v="288.05336228281396"/>
  </r>
  <r>
    <x v="375"/>
    <x v="4"/>
    <x v="37"/>
    <x v="4"/>
    <x v="1"/>
    <n v="60"/>
    <x v="1"/>
    <x v="10"/>
    <x v="329"/>
    <n v="359.17944599026856"/>
  </r>
  <r>
    <x v="376"/>
    <x v="0"/>
    <x v="4"/>
    <x v="0"/>
    <x v="0"/>
    <n v="72"/>
    <x v="2"/>
    <x v="2"/>
    <x v="330"/>
    <n v="197.37612508711427"/>
  </r>
  <r>
    <x v="377"/>
    <x v="1"/>
    <x v="3"/>
    <x v="1"/>
    <x v="1"/>
    <n v="65"/>
    <x v="0"/>
    <x v="14"/>
    <x v="331"/>
    <n v="28.536829037199396"/>
  </r>
  <r>
    <x v="378"/>
    <x v="2"/>
    <x v="35"/>
    <x v="2"/>
    <x v="0"/>
    <n v="250"/>
    <x v="1"/>
    <x v="9"/>
    <x v="332"/>
    <n v="377.23881158889554"/>
  </r>
  <r>
    <x v="379"/>
    <x v="3"/>
    <x v="11"/>
    <x v="3"/>
    <x v="1"/>
    <n v="130"/>
    <x v="2"/>
    <x v="1"/>
    <x v="333"/>
    <n v="394.59754260216528"/>
  </r>
  <r>
    <x v="380"/>
    <x v="0"/>
    <x v="10"/>
    <x v="0"/>
    <x v="0"/>
    <n v="72"/>
    <x v="0"/>
    <x v="12"/>
    <x v="334"/>
    <n v="756.21757050582801"/>
  </r>
  <r>
    <x v="381"/>
    <x v="1"/>
    <x v="1"/>
    <x v="1"/>
    <x v="1"/>
    <n v="65"/>
    <x v="1"/>
    <x v="8"/>
    <x v="335"/>
    <n v="22.430272139200806"/>
  </r>
  <r>
    <x v="382"/>
    <x v="2"/>
    <x v="17"/>
    <x v="2"/>
    <x v="0"/>
    <n v="250"/>
    <x v="2"/>
    <x v="2"/>
    <x v="336"/>
    <n v="324.49954185656838"/>
  </r>
  <r>
    <x v="383"/>
    <x v="3"/>
    <x v="17"/>
    <x v="3"/>
    <x v="1"/>
    <n v="130"/>
    <x v="0"/>
    <x v="5"/>
    <x v="337"/>
    <n v="484.15823703209657"/>
  </r>
  <r>
    <x v="384"/>
    <x v="4"/>
    <x v="37"/>
    <x v="4"/>
    <x v="0"/>
    <n v="60"/>
    <x v="1"/>
    <x v="13"/>
    <x v="338"/>
    <n v="334.20679802519805"/>
  </r>
  <r>
    <x v="385"/>
    <x v="5"/>
    <x v="4"/>
    <x v="5"/>
    <x v="1"/>
    <n v="95"/>
    <x v="2"/>
    <x v="5"/>
    <x v="339"/>
    <n v="353.75377272115054"/>
  </r>
  <r>
    <x v="386"/>
    <x v="0"/>
    <x v="2"/>
    <x v="0"/>
    <x v="0"/>
    <n v="72"/>
    <x v="0"/>
    <x v="12"/>
    <x v="340"/>
    <n v="507.73919433374715"/>
  </r>
  <r>
    <x v="387"/>
    <x v="1"/>
    <x v="12"/>
    <x v="1"/>
    <x v="1"/>
    <n v="65"/>
    <x v="1"/>
    <x v="8"/>
    <x v="341"/>
    <n v="83.466117859628014"/>
  </r>
  <r>
    <x v="388"/>
    <x v="2"/>
    <x v="0"/>
    <x v="2"/>
    <x v="1"/>
    <n v="250"/>
    <x v="2"/>
    <x v="2"/>
    <x v="342"/>
    <n v="466.60051591703393"/>
  </r>
  <r>
    <x v="389"/>
    <x v="3"/>
    <x v="38"/>
    <x v="3"/>
    <x v="1"/>
    <n v="130"/>
    <x v="0"/>
    <x v="2"/>
    <x v="343"/>
    <n v="238.23756273197907"/>
  </r>
  <r>
    <x v="390"/>
    <x v="0"/>
    <x v="1"/>
    <x v="0"/>
    <x v="1"/>
    <n v="72"/>
    <x v="1"/>
    <x v="7"/>
    <x v="344"/>
    <n v="339.4252708616977"/>
  </r>
  <r>
    <x v="391"/>
    <x v="1"/>
    <x v="2"/>
    <x v="1"/>
    <x v="1"/>
    <n v="65"/>
    <x v="2"/>
    <x v="0"/>
    <x v="345"/>
    <n v="430.2419497287068"/>
  </r>
  <r>
    <x v="392"/>
    <x v="2"/>
    <x v="5"/>
    <x v="2"/>
    <x v="0"/>
    <n v="250"/>
    <x v="0"/>
    <x v="11"/>
    <x v="346"/>
    <n v="241.38710838076213"/>
  </r>
  <r>
    <x v="393"/>
    <x v="3"/>
    <x v="3"/>
    <x v="3"/>
    <x v="1"/>
    <n v="130"/>
    <x v="1"/>
    <x v="4"/>
    <x v="347"/>
    <n v="329.67572792848307"/>
  </r>
  <r>
    <x v="394"/>
    <x v="4"/>
    <x v="36"/>
    <x v="4"/>
    <x v="0"/>
    <n v="60"/>
    <x v="2"/>
    <x v="4"/>
    <x v="348"/>
    <n v="151.49686848642131"/>
  </r>
  <r>
    <x v="395"/>
    <x v="0"/>
    <x v="24"/>
    <x v="0"/>
    <x v="1"/>
    <n v="72"/>
    <x v="0"/>
    <x v="7"/>
    <x v="349"/>
    <n v="185.83321655179884"/>
  </r>
  <r>
    <x v="396"/>
    <x v="1"/>
    <x v="21"/>
    <x v="1"/>
    <x v="0"/>
    <n v="65"/>
    <x v="1"/>
    <x v="4"/>
    <x v="350"/>
    <n v="27.473798154808378"/>
  </r>
  <r>
    <x v="397"/>
    <x v="2"/>
    <x v="32"/>
    <x v="2"/>
    <x v="1"/>
    <n v="250"/>
    <x v="2"/>
    <x v="11"/>
    <x v="351"/>
    <n v="113.76422333015438"/>
  </r>
  <r>
    <x v="398"/>
    <x v="3"/>
    <x v="4"/>
    <x v="3"/>
    <x v="0"/>
    <n v="130"/>
    <x v="0"/>
    <x v="1"/>
    <x v="352"/>
    <n v="141.56679423692563"/>
  </r>
  <r>
    <x v="399"/>
    <x v="0"/>
    <x v="2"/>
    <x v="0"/>
    <x v="1"/>
    <n v="72"/>
    <x v="1"/>
    <x v="1"/>
    <x v="353"/>
    <n v="448.13624749458739"/>
  </r>
  <r>
    <x v="400"/>
    <x v="1"/>
    <x v="27"/>
    <x v="1"/>
    <x v="0"/>
    <n v="65"/>
    <x v="2"/>
    <x v="6"/>
    <x v="354"/>
    <n v="429.21266941629284"/>
  </r>
  <r>
    <x v="401"/>
    <x v="2"/>
    <x v="0"/>
    <x v="2"/>
    <x v="1"/>
    <n v="250"/>
    <x v="0"/>
    <x v="2"/>
    <x v="355"/>
    <n v="650.40628659434913"/>
  </r>
  <r>
    <x v="402"/>
    <x v="3"/>
    <x v="1"/>
    <x v="3"/>
    <x v="0"/>
    <n v="130"/>
    <x v="1"/>
    <x v="4"/>
    <x v="356"/>
    <n v="411.86871437852852"/>
  </r>
  <r>
    <x v="403"/>
    <x v="4"/>
    <x v="28"/>
    <x v="4"/>
    <x v="1"/>
    <n v="60"/>
    <x v="2"/>
    <x v="7"/>
    <x v="357"/>
    <n v="172.57407444125246"/>
  </r>
  <r>
    <x v="404"/>
    <x v="5"/>
    <x v="8"/>
    <x v="5"/>
    <x v="0"/>
    <n v="95"/>
    <x v="0"/>
    <x v="0"/>
    <x v="358"/>
    <n v="579.08472646070959"/>
  </r>
  <r>
    <x v="405"/>
    <x v="0"/>
    <x v="33"/>
    <x v="0"/>
    <x v="1"/>
    <n v="72"/>
    <x v="1"/>
    <x v="3"/>
    <x v="359"/>
    <n v="314.91471826822806"/>
  </r>
  <r>
    <x v="406"/>
    <x v="1"/>
    <x v="14"/>
    <x v="1"/>
    <x v="0"/>
    <n v="65"/>
    <x v="2"/>
    <x v="4"/>
    <x v="360"/>
    <n v="242.55354594683496"/>
  </r>
  <r>
    <x v="407"/>
    <x v="2"/>
    <x v="16"/>
    <x v="2"/>
    <x v="1"/>
    <n v="250"/>
    <x v="0"/>
    <x v="9"/>
    <x v="361"/>
    <n v="5.1469143804673827"/>
  </r>
  <r>
    <x v="408"/>
    <x v="3"/>
    <x v="17"/>
    <x v="3"/>
    <x v="0"/>
    <n v="130"/>
    <x v="1"/>
    <x v="9"/>
    <x v="362"/>
    <n v="191.87303411854478"/>
  </r>
  <r>
    <x v="409"/>
    <x v="0"/>
    <x v="17"/>
    <x v="0"/>
    <x v="1"/>
    <n v="72"/>
    <x v="2"/>
    <x v="14"/>
    <x v="363"/>
    <n v="91.705363531801282"/>
  </r>
  <r>
    <x v="410"/>
    <x v="1"/>
    <x v="5"/>
    <x v="1"/>
    <x v="1"/>
    <n v="65"/>
    <x v="0"/>
    <x v="5"/>
    <x v="364"/>
    <n v="90.565265457138068"/>
  </r>
  <r>
    <x v="411"/>
    <x v="2"/>
    <x v="16"/>
    <x v="2"/>
    <x v="1"/>
    <n v="250"/>
    <x v="1"/>
    <x v="11"/>
    <x v="365"/>
    <n v="210.62497342219584"/>
  </r>
  <r>
    <x v="412"/>
    <x v="3"/>
    <x v="1"/>
    <x v="0"/>
    <x v="1"/>
    <n v="72"/>
    <x v="2"/>
    <x v="6"/>
    <x v="366"/>
    <n v="300.86528890360802"/>
  </r>
  <r>
    <x v="413"/>
    <x v="0"/>
    <x v="18"/>
    <x v="1"/>
    <x v="1"/>
    <n v="65"/>
    <x v="0"/>
    <x v="1"/>
    <x v="367"/>
    <n v="53.610420154407542"/>
  </r>
  <r>
    <x v="414"/>
    <x v="1"/>
    <x v="3"/>
    <x v="2"/>
    <x v="0"/>
    <n v="250"/>
    <x v="0"/>
    <x v="2"/>
    <x v="368"/>
    <n v="693.86243890081926"/>
  </r>
  <r>
    <x v="415"/>
    <x v="2"/>
    <x v="19"/>
    <x v="3"/>
    <x v="1"/>
    <n v="130"/>
    <x v="1"/>
    <x v="4"/>
    <x v="369"/>
    <n v="279.57720738842414"/>
  </r>
  <r>
    <x v="416"/>
    <x v="3"/>
    <x v="20"/>
    <x v="0"/>
    <x v="0"/>
    <n v="72"/>
    <x v="2"/>
    <x v="14"/>
    <x v="370"/>
    <n v="471.86855450512462"/>
  </r>
  <r>
    <x v="417"/>
    <x v="0"/>
    <x v="21"/>
    <x v="1"/>
    <x v="1"/>
    <n v="65"/>
    <x v="0"/>
    <x v="1"/>
    <x v="371"/>
    <n v="136.90211020276621"/>
  </r>
  <r>
    <x v="418"/>
    <x v="1"/>
    <x v="22"/>
    <x v="2"/>
    <x v="0"/>
    <n v="250"/>
    <x v="1"/>
    <x v="11"/>
    <x v="372"/>
    <n v="245.27263253323503"/>
  </r>
  <r>
    <x v="419"/>
    <x v="2"/>
    <x v="23"/>
    <x v="3"/>
    <x v="1"/>
    <n v="130"/>
    <x v="2"/>
    <x v="3"/>
    <x v="373"/>
    <n v="173.90444442795362"/>
  </r>
  <r>
    <x v="420"/>
    <x v="3"/>
    <x v="24"/>
    <x v="4"/>
    <x v="0"/>
    <n v="60"/>
    <x v="0"/>
    <x v="3"/>
    <x v="374"/>
    <n v="83.107644766382037"/>
  </r>
  <r>
    <x v="421"/>
    <x v="4"/>
    <x v="16"/>
    <x v="0"/>
    <x v="1"/>
    <n v="72"/>
    <x v="1"/>
    <x v="6"/>
    <x v="375"/>
    <n v="16.732808245242531"/>
  </r>
  <r>
    <x v="422"/>
    <x v="0"/>
    <x v="25"/>
    <x v="1"/>
    <x v="0"/>
    <n v="65"/>
    <x v="2"/>
    <x v="1"/>
    <x v="376"/>
    <n v="34.39210453026395"/>
  </r>
  <r>
    <x v="423"/>
    <x v="1"/>
    <x v="6"/>
    <x v="2"/>
    <x v="1"/>
    <n v="250"/>
    <x v="0"/>
    <x v="2"/>
    <x v="377"/>
    <n v="488.69096781477356"/>
  </r>
  <r>
    <x v="424"/>
    <x v="2"/>
    <x v="2"/>
    <x v="3"/>
    <x v="0"/>
    <n v="130"/>
    <x v="1"/>
    <x v="1"/>
    <x v="378"/>
    <n v="574.54856092736975"/>
  </r>
  <r>
    <x v="425"/>
    <x v="3"/>
    <x v="26"/>
    <x v="0"/>
    <x v="1"/>
    <n v="72"/>
    <x v="2"/>
    <x v="7"/>
    <x v="379"/>
    <n v="533.26425500203186"/>
  </r>
  <r>
    <x v="426"/>
    <x v="0"/>
    <x v="4"/>
    <x v="1"/>
    <x v="0"/>
    <n v="65"/>
    <x v="0"/>
    <x v="1"/>
    <x v="380"/>
    <n v="103.38436324687689"/>
  </r>
  <r>
    <x v="427"/>
    <x v="1"/>
    <x v="27"/>
    <x v="2"/>
    <x v="1"/>
    <n v="250"/>
    <x v="1"/>
    <x v="2"/>
    <x v="381"/>
    <n v="13.540635392209206"/>
  </r>
  <r>
    <x v="428"/>
    <x v="2"/>
    <x v="15"/>
    <x v="3"/>
    <x v="0"/>
    <n v="130"/>
    <x v="2"/>
    <x v="5"/>
    <x v="382"/>
    <n v="589.89346284361159"/>
  </r>
  <r>
    <x v="429"/>
    <x v="3"/>
    <x v="28"/>
    <x v="4"/>
    <x v="1"/>
    <n v="60"/>
    <x v="0"/>
    <x v="10"/>
    <x v="383"/>
    <n v="411.78907079871493"/>
  </r>
  <r>
    <x v="430"/>
    <x v="4"/>
    <x v="8"/>
    <x v="5"/>
    <x v="0"/>
    <n v="95"/>
    <x v="1"/>
    <x v="1"/>
    <x v="384"/>
    <n v="5.8270989720199404"/>
  </r>
  <r>
    <x v="431"/>
    <x v="5"/>
    <x v="6"/>
    <x v="0"/>
    <x v="1"/>
    <n v="72"/>
    <x v="2"/>
    <x v="3"/>
    <x v="385"/>
    <n v="151.19630048735576"/>
  </r>
  <r>
    <x v="432"/>
    <x v="0"/>
    <x v="27"/>
    <x v="1"/>
    <x v="1"/>
    <n v="65"/>
    <x v="0"/>
    <x v="0"/>
    <x v="386"/>
    <n v="415.48099049182713"/>
  </r>
  <r>
    <x v="433"/>
    <x v="1"/>
    <x v="10"/>
    <x v="2"/>
    <x v="1"/>
    <n v="250"/>
    <x v="1"/>
    <x v="2"/>
    <x v="387"/>
    <n v="684.30818845718227"/>
  </r>
  <r>
    <x v="434"/>
    <x v="2"/>
    <x v="29"/>
    <x v="3"/>
    <x v="1"/>
    <n v="130"/>
    <x v="2"/>
    <x v="4"/>
    <x v="388"/>
    <n v="40.541707448114231"/>
  </r>
  <r>
    <x v="435"/>
    <x v="3"/>
    <x v="30"/>
    <x v="0"/>
    <x v="1"/>
    <n v="72"/>
    <x v="0"/>
    <x v="14"/>
    <x v="389"/>
    <n v="427.34195124180764"/>
  </r>
  <r>
    <x v="436"/>
    <x v="0"/>
    <x v="31"/>
    <x v="1"/>
    <x v="0"/>
    <n v="65"/>
    <x v="1"/>
    <x v="4"/>
    <x v="390"/>
    <n v="141.64267391551863"/>
  </r>
  <r>
    <x v="437"/>
    <x v="1"/>
    <x v="27"/>
    <x v="2"/>
    <x v="1"/>
    <n v="250"/>
    <x v="2"/>
    <x v="2"/>
    <x v="391"/>
    <n v="408.63878414326371"/>
  </r>
  <r>
    <x v="438"/>
    <x v="2"/>
    <x v="29"/>
    <x v="3"/>
    <x v="0"/>
    <n v="130"/>
    <x v="0"/>
    <x v="9"/>
    <x v="392"/>
    <n v="181.67113422945138"/>
  </r>
  <r>
    <x v="439"/>
    <x v="3"/>
    <x v="1"/>
    <x v="4"/>
    <x v="1"/>
    <n v="60"/>
    <x v="1"/>
    <x v="4"/>
    <x v="393"/>
    <n v="185.07285101139036"/>
  </r>
  <r>
    <x v="440"/>
    <x v="4"/>
    <x v="11"/>
    <x v="0"/>
    <x v="0"/>
    <n v="72"/>
    <x v="2"/>
    <x v="4"/>
    <x v="394"/>
    <n v="147.29506841980785"/>
  </r>
  <r>
    <x v="441"/>
    <x v="0"/>
    <x v="5"/>
    <x v="1"/>
    <x v="1"/>
    <n v="65"/>
    <x v="0"/>
    <x v="1"/>
    <x v="395"/>
    <n v="53.23039184010338"/>
  </r>
  <r>
    <x v="442"/>
    <x v="1"/>
    <x v="2"/>
    <x v="2"/>
    <x v="0"/>
    <n v="250"/>
    <x v="1"/>
    <x v="9"/>
    <x v="396"/>
    <n v="346.47487800856914"/>
  </r>
  <r>
    <x v="443"/>
    <x v="2"/>
    <x v="31"/>
    <x v="3"/>
    <x v="1"/>
    <n v="130"/>
    <x v="2"/>
    <x v="5"/>
    <x v="397"/>
    <n v="111.50147140272277"/>
  </r>
  <r>
    <x v="444"/>
    <x v="3"/>
    <x v="3"/>
    <x v="0"/>
    <x v="0"/>
    <n v="72"/>
    <x v="0"/>
    <x v="6"/>
    <x v="398"/>
    <n v="459.04448015305405"/>
  </r>
  <r>
    <x v="445"/>
    <x v="0"/>
    <x v="25"/>
    <x v="1"/>
    <x v="1"/>
    <n v="65"/>
    <x v="1"/>
    <x v="6"/>
    <x v="399"/>
    <n v="433.51742752781803"/>
  </r>
  <r>
    <x v="446"/>
    <x v="1"/>
    <x v="7"/>
    <x v="2"/>
    <x v="0"/>
    <n v="250"/>
    <x v="2"/>
    <x v="9"/>
    <x v="400"/>
    <n v="352.28950256594311"/>
  </r>
  <r>
    <x v="447"/>
    <x v="2"/>
    <x v="25"/>
    <x v="3"/>
    <x v="1"/>
    <n v="130"/>
    <x v="0"/>
    <x v="9"/>
    <x v="401"/>
    <n v="240.7074775028552"/>
  </r>
  <r>
    <x v="448"/>
    <x v="3"/>
    <x v="32"/>
    <x v="4"/>
    <x v="0"/>
    <n v="60"/>
    <x v="1"/>
    <x v="12"/>
    <x v="402"/>
    <n v="634.21577775510616"/>
  </r>
  <r>
    <x v="449"/>
    <x v="4"/>
    <x v="33"/>
    <x v="5"/>
    <x v="1"/>
    <n v="95"/>
    <x v="2"/>
    <x v="4"/>
    <x v="403"/>
    <n v="89.419682290585243"/>
  </r>
  <r>
    <x v="450"/>
    <x v="5"/>
    <x v="33"/>
    <x v="0"/>
    <x v="0"/>
    <n v="72"/>
    <x v="0"/>
    <x v="12"/>
    <x v="404"/>
    <n v="199.04955412928203"/>
  </r>
  <r>
    <x v="451"/>
    <x v="0"/>
    <x v="22"/>
    <x v="1"/>
    <x v="1"/>
    <n v="65"/>
    <x v="1"/>
    <x v="5"/>
    <x v="405"/>
    <n v="119.72633710924715"/>
  </r>
  <r>
    <x v="452"/>
    <x v="1"/>
    <x v="34"/>
    <x v="2"/>
    <x v="0"/>
    <n v="250"/>
    <x v="2"/>
    <x v="11"/>
    <x v="406"/>
    <n v="117.65652194474063"/>
  </r>
  <r>
    <x v="453"/>
    <x v="2"/>
    <x v="7"/>
    <x v="3"/>
    <x v="1"/>
    <n v="130"/>
    <x v="0"/>
    <x v="2"/>
    <x v="407"/>
    <n v="263.58729204625689"/>
  </r>
  <r>
    <x v="454"/>
    <x v="3"/>
    <x v="3"/>
    <x v="0"/>
    <x v="1"/>
    <n v="72"/>
    <x v="1"/>
    <x v="4"/>
    <x v="408"/>
    <n v="184.58560756972881"/>
  </r>
  <r>
    <x v="455"/>
    <x v="0"/>
    <x v="31"/>
    <x v="1"/>
    <x v="1"/>
    <n v="65"/>
    <x v="2"/>
    <x v="5"/>
    <x v="409"/>
    <n v="132.9564979904238"/>
  </r>
  <r>
    <x v="456"/>
    <x v="1"/>
    <x v="4"/>
    <x v="2"/>
    <x v="1"/>
    <n v="250"/>
    <x v="0"/>
    <x v="9"/>
    <x v="410"/>
    <n v="243.0741065760798"/>
  </r>
  <r>
    <x v="457"/>
    <x v="2"/>
    <x v="34"/>
    <x v="3"/>
    <x v="1"/>
    <n v="130"/>
    <x v="1"/>
    <x v="4"/>
    <x v="411"/>
    <n v="121.34195282522202"/>
  </r>
  <r>
    <x v="458"/>
    <x v="3"/>
    <x v="13"/>
    <x v="0"/>
    <x v="0"/>
    <n v="72"/>
    <x v="2"/>
    <x v="3"/>
    <x v="412"/>
    <n v="95.2948288690053"/>
  </r>
  <r>
    <x v="459"/>
    <x v="0"/>
    <x v="35"/>
    <x v="1"/>
    <x v="1"/>
    <n v="65"/>
    <x v="0"/>
    <x v="6"/>
    <x v="413"/>
    <n v="324.27722036636834"/>
  </r>
  <r>
    <x v="460"/>
    <x v="1"/>
    <x v="2"/>
    <x v="2"/>
    <x v="0"/>
    <n v="250"/>
    <x v="0"/>
    <x v="9"/>
    <x v="414"/>
    <n v="97.541199340249406"/>
  </r>
  <r>
    <x v="461"/>
    <x v="2"/>
    <x v="13"/>
    <x v="3"/>
    <x v="1"/>
    <n v="130"/>
    <x v="1"/>
    <x v="4"/>
    <x v="415"/>
    <n v="191.08583398449704"/>
  </r>
  <r>
    <x v="462"/>
    <x v="3"/>
    <x v="18"/>
    <x v="0"/>
    <x v="0"/>
    <n v="72"/>
    <x v="2"/>
    <x v="7"/>
    <x v="416"/>
    <n v="395.95032713321797"/>
  </r>
  <r>
    <x v="463"/>
    <x v="0"/>
    <x v="23"/>
    <x v="1"/>
    <x v="1"/>
    <n v="65"/>
    <x v="0"/>
    <x v="12"/>
    <x v="417"/>
    <n v="347.13519555235462"/>
  </r>
  <r>
    <x v="464"/>
    <x v="1"/>
    <x v="36"/>
    <x v="2"/>
    <x v="0"/>
    <n v="250"/>
    <x v="1"/>
    <x v="9"/>
    <x v="418"/>
    <n v="381.23748576240649"/>
  </r>
  <r>
    <x v="465"/>
    <x v="2"/>
    <x v="37"/>
    <x v="3"/>
    <x v="1"/>
    <n v="130"/>
    <x v="2"/>
    <x v="4"/>
    <x v="419"/>
    <n v="4.5728275769369775"/>
  </r>
  <r>
    <x v="466"/>
    <x v="3"/>
    <x v="4"/>
    <x v="4"/>
    <x v="0"/>
    <n v="60"/>
    <x v="0"/>
    <x v="6"/>
    <x v="420"/>
    <n v="217.58818869802855"/>
  </r>
  <r>
    <x v="467"/>
    <x v="4"/>
    <x v="3"/>
    <x v="0"/>
    <x v="1"/>
    <n v="72"/>
    <x v="1"/>
    <x v="2"/>
    <x v="421"/>
    <n v="114.18236963850042"/>
  </r>
  <r>
    <x v="468"/>
    <x v="0"/>
    <x v="35"/>
    <x v="1"/>
    <x v="0"/>
    <n v="65"/>
    <x v="2"/>
    <x v="10"/>
    <x v="422"/>
    <n v="535.24615889501706"/>
  </r>
  <r>
    <x v="469"/>
    <x v="1"/>
    <x v="11"/>
    <x v="2"/>
    <x v="1"/>
    <n v="250"/>
    <x v="0"/>
    <x v="2"/>
    <x v="423"/>
    <n v="695.98883075401113"/>
  </r>
  <r>
    <x v="470"/>
    <x v="2"/>
    <x v="10"/>
    <x v="3"/>
    <x v="0"/>
    <n v="130"/>
    <x v="1"/>
    <x v="1"/>
    <x v="424"/>
    <n v="651.33041980387407"/>
  </r>
  <r>
    <x v="471"/>
    <x v="3"/>
    <x v="1"/>
    <x v="0"/>
    <x v="1"/>
    <n v="72"/>
    <x v="2"/>
    <x v="2"/>
    <x v="425"/>
    <n v="104.81694563744583"/>
  </r>
  <r>
    <x v="472"/>
    <x v="0"/>
    <x v="17"/>
    <x v="1"/>
    <x v="0"/>
    <n v="65"/>
    <x v="0"/>
    <x v="1"/>
    <x v="426"/>
    <n v="71.158115756183051"/>
  </r>
  <r>
    <x v="473"/>
    <x v="1"/>
    <x v="17"/>
    <x v="2"/>
    <x v="1"/>
    <n v="250"/>
    <x v="1"/>
    <x v="2"/>
    <x v="427"/>
    <n v="154.42053568343863"/>
  </r>
  <r>
    <x v="474"/>
    <x v="2"/>
    <x v="37"/>
    <x v="3"/>
    <x v="0"/>
    <n v="130"/>
    <x v="2"/>
    <x v="4"/>
    <x v="428"/>
    <n v="292.53586399881578"/>
  </r>
  <r>
    <x v="475"/>
    <x v="3"/>
    <x v="4"/>
    <x v="4"/>
    <x v="1"/>
    <n v="60"/>
    <x v="0"/>
    <x v="1"/>
    <x v="429"/>
    <n v="157.85999942433921"/>
  </r>
  <r>
    <x v="476"/>
    <x v="4"/>
    <x v="2"/>
    <x v="5"/>
    <x v="1"/>
    <n v="95"/>
    <x v="1"/>
    <x v="4"/>
    <x v="430"/>
    <n v="43.074675287881448"/>
  </r>
  <r>
    <x v="477"/>
    <x v="5"/>
    <x v="12"/>
    <x v="0"/>
    <x v="1"/>
    <n v="72"/>
    <x v="2"/>
    <x v="5"/>
    <x v="431"/>
    <n v="352.68793938533565"/>
  </r>
  <r>
    <x v="478"/>
    <x v="0"/>
    <x v="0"/>
    <x v="1"/>
    <x v="1"/>
    <n v="65"/>
    <x v="0"/>
    <x v="3"/>
    <x v="432"/>
    <n v="273.30385377320437"/>
  </r>
  <r>
    <x v="479"/>
    <x v="1"/>
    <x v="38"/>
    <x v="2"/>
    <x v="1"/>
    <n v="250"/>
    <x v="1"/>
    <x v="9"/>
    <x v="433"/>
    <n v="352.66626492946904"/>
  </r>
  <r>
    <x v="480"/>
    <x v="2"/>
    <x v="1"/>
    <x v="3"/>
    <x v="0"/>
    <n v="130"/>
    <x v="2"/>
    <x v="9"/>
    <x v="434"/>
    <n v="167.92329162458168"/>
  </r>
  <r>
    <x v="481"/>
    <x v="3"/>
    <x v="2"/>
    <x v="0"/>
    <x v="1"/>
    <n v="72"/>
    <x v="0"/>
    <x v="4"/>
    <x v="435"/>
    <n v="171.46416500711808"/>
  </r>
  <r>
    <x v="482"/>
    <x v="0"/>
    <x v="5"/>
    <x v="1"/>
    <x v="0"/>
    <n v="65"/>
    <x v="1"/>
    <x v="14"/>
    <x v="436"/>
    <n v="280.61676547620971"/>
  </r>
  <r>
    <x v="483"/>
    <x v="1"/>
    <x v="3"/>
    <x v="2"/>
    <x v="1"/>
    <n v="250"/>
    <x v="2"/>
    <x v="11"/>
    <x v="437"/>
    <n v="78.960400199721704"/>
  </r>
  <r>
    <x v="484"/>
    <x v="2"/>
    <x v="36"/>
    <x v="3"/>
    <x v="0"/>
    <n v="130"/>
    <x v="0"/>
    <x v="5"/>
    <x v="438"/>
    <n v="406.37284937013544"/>
  </r>
  <r>
    <x v="485"/>
    <x v="3"/>
    <x v="24"/>
    <x v="4"/>
    <x v="1"/>
    <n v="60"/>
    <x v="1"/>
    <x v="4"/>
    <x v="439"/>
    <n v="26.290265408427047"/>
  </r>
  <r>
    <x v="486"/>
    <x v="4"/>
    <x v="21"/>
    <x v="0"/>
    <x v="0"/>
    <n v="72"/>
    <x v="2"/>
    <x v="1"/>
    <x v="440"/>
    <n v="247.2121417222794"/>
  </r>
  <r>
    <x v="487"/>
    <x v="0"/>
    <x v="32"/>
    <x v="1"/>
    <x v="1"/>
    <n v="65"/>
    <x v="0"/>
    <x v="7"/>
    <x v="441"/>
    <n v="168.78254792488426"/>
  </r>
  <r>
    <x v="488"/>
    <x v="1"/>
    <x v="4"/>
    <x v="2"/>
    <x v="0"/>
    <n v="250"/>
    <x v="1"/>
    <x v="11"/>
    <x v="442"/>
    <n v="233.50769961302368"/>
  </r>
  <r>
    <x v="489"/>
    <x v="2"/>
    <x v="2"/>
    <x v="3"/>
    <x v="1"/>
    <n v="130"/>
    <x v="2"/>
    <x v="5"/>
    <x v="443"/>
    <n v="640.70748369814009"/>
  </r>
  <r>
    <x v="490"/>
    <x v="3"/>
    <x v="27"/>
    <x v="0"/>
    <x v="0"/>
    <n v="72"/>
    <x v="0"/>
    <x v="4"/>
    <x v="444"/>
    <n v="162.46697485592085"/>
  </r>
  <r>
    <x v="491"/>
    <x v="0"/>
    <x v="0"/>
    <x v="1"/>
    <x v="1"/>
    <n v="65"/>
    <x v="1"/>
    <x v="14"/>
    <x v="445"/>
    <n v="168.73779881079255"/>
  </r>
  <r>
    <x v="492"/>
    <x v="1"/>
    <x v="1"/>
    <x v="2"/>
    <x v="0"/>
    <n v="250"/>
    <x v="2"/>
    <x v="4"/>
    <x v="446"/>
    <n v="458.90428654255243"/>
  </r>
  <r>
    <x v="493"/>
    <x v="2"/>
    <x v="28"/>
    <x v="3"/>
    <x v="1"/>
    <n v="130"/>
    <x v="0"/>
    <x v="2"/>
    <x v="447"/>
    <n v="112.04242646471506"/>
  </r>
  <r>
    <x v="494"/>
    <x v="3"/>
    <x v="8"/>
    <x v="4"/>
    <x v="0"/>
    <n v="60"/>
    <x v="1"/>
    <x v="8"/>
    <x v="448"/>
    <n v="263.26240202751018"/>
  </r>
  <r>
    <x v="495"/>
    <x v="4"/>
    <x v="33"/>
    <x v="5"/>
    <x v="1"/>
    <n v="95"/>
    <x v="2"/>
    <x v="4"/>
    <x v="449"/>
    <n v="185.05756404426589"/>
  </r>
  <r>
    <x v="496"/>
    <x v="5"/>
    <x v="14"/>
    <x v="0"/>
    <x v="0"/>
    <n v="72"/>
    <x v="0"/>
    <x v="2"/>
    <x v="450"/>
    <n v="32.505570134358706"/>
  </r>
  <r>
    <x v="497"/>
    <x v="0"/>
    <x v="16"/>
    <x v="1"/>
    <x v="1"/>
    <n v="65"/>
    <x v="1"/>
    <x v="7"/>
    <x v="451"/>
    <n v="329.26455190783599"/>
  </r>
  <r>
    <x v="498"/>
    <x v="1"/>
    <x v="17"/>
    <x v="2"/>
    <x v="1"/>
    <n v="250"/>
    <x v="2"/>
    <x v="4"/>
    <x v="452"/>
    <n v="980.97202334597569"/>
  </r>
  <r>
    <x v="499"/>
    <x v="0"/>
    <x v="39"/>
    <x v="0"/>
    <x v="0"/>
    <n v="72"/>
    <x v="0"/>
    <x v="6"/>
    <x v="453"/>
    <n v="22.871393374235762"/>
  </r>
  <r>
    <x v="500"/>
    <x v="1"/>
    <x v="40"/>
    <x v="1"/>
    <x v="1"/>
    <n v="65"/>
    <x v="1"/>
    <x v="12"/>
    <x v="454"/>
    <n v="303.95625408108663"/>
  </r>
  <r>
    <x v="501"/>
    <x v="2"/>
    <x v="41"/>
    <x v="2"/>
    <x v="0"/>
    <n v="250"/>
    <x v="2"/>
    <x v="9"/>
    <x v="455"/>
    <n v="104.88677813054709"/>
  </r>
  <r>
    <x v="502"/>
    <x v="3"/>
    <x v="42"/>
    <x v="3"/>
    <x v="1"/>
    <n v="130"/>
    <x v="0"/>
    <x v="3"/>
    <x v="456"/>
    <n v="335.03671007574729"/>
  </r>
  <r>
    <x v="503"/>
    <x v="0"/>
    <x v="43"/>
    <x v="0"/>
    <x v="0"/>
    <n v="72"/>
    <x v="1"/>
    <x v="0"/>
    <x v="457"/>
    <n v="208.50934849990318"/>
  </r>
  <r>
    <x v="504"/>
    <x v="1"/>
    <x v="44"/>
    <x v="1"/>
    <x v="1"/>
    <n v="65"/>
    <x v="2"/>
    <x v="3"/>
    <x v="458"/>
    <n v="225.39074232832249"/>
  </r>
  <r>
    <x v="505"/>
    <x v="2"/>
    <x v="45"/>
    <x v="2"/>
    <x v="0"/>
    <n v="250"/>
    <x v="0"/>
    <x v="9"/>
    <x v="459"/>
    <n v="319.59852952450376"/>
  </r>
  <r>
    <x v="506"/>
    <x v="3"/>
    <x v="46"/>
    <x v="3"/>
    <x v="1"/>
    <n v="130"/>
    <x v="1"/>
    <x v="4"/>
    <x v="460"/>
    <n v="214.52614617382619"/>
  </r>
  <r>
    <x v="507"/>
    <x v="4"/>
    <x v="47"/>
    <x v="4"/>
    <x v="0"/>
    <n v="60"/>
    <x v="2"/>
    <x v="7"/>
    <x v="461"/>
    <n v="301.15343185106406"/>
  </r>
  <r>
    <x v="508"/>
    <x v="0"/>
    <x v="48"/>
    <x v="0"/>
    <x v="1"/>
    <n v="72"/>
    <x v="0"/>
    <x v="7"/>
    <x v="462"/>
    <n v="581.27414155758458"/>
  </r>
  <r>
    <x v="509"/>
    <x v="1"/>
    <x v="32"/>
    <x v="1"/>
    <x v="0"/>
    <n v="65"/>
    <x v="1"/>
    <x v="6"/>
    <x v="463"/>
    <n v="132.48481897978459"/>
  </r>
  <r>
    <x v="510"/>
    <x v="2"/>
    <x v="49"/>
    <x v="2"/>
    <x v="1"/>
    <n v="250"/>
    <x v="2"/>
    <x v="2"/>
    <x v="464"/>
    <n v="17.955886959127781"/>
  </r>
  <r>
    <x v="511"/>
    <x v="3"/>
    <x v="19"/>
    <x v="3"/>
    <x v="0"/>
    <n v="130"/>
    <x v="0"/>
    <x v="5"/>
    <x v="465"/>
    <n v="419.28104658163534"/>
  </r>
  <r>
    <x v="512"/>
    <x v="0"/>
    <x v="50"/>
    <x v="0"/>
    <x v="1"/>
    <n v="72"/>
    <x v="1"/>
    <x v="0"/>
    <x v="466"/>
    <n v="117.63763901844104"/>
  </r>
  <r>
    <x v="513"/>
    <x v="1"/>
    <x v="51"/>
    <x v="1"/>
    <x v="0"/>
    <n v="65"/>
    <x v="2"/>
    <x v="4"/>
    <x v="467"/>
    <n v="53.6159998181245"/>
  </r>
  <r>
    <x v="514"/>
    <x v="2"/>
    <x v="29"/>
    <x v="2"/>
    <x v="1"/>
    <n v="250"/>
    <x v="0"/>
    <x v="9"/>
    <x v="468"/>
    <n v="187.22628083381954"/>
  </r>
  <r>
    <x v="515"/>
    <x v="3"/>
    <x v="52"/>
    <x v="3"/>
    <x v="0"/>
    <n v="130"/>
    <x v="1"/>
    <x v="5"/>
    <x v="469"/>
    <n v="60.169562677055794"/>
  </r>
  <r>
    <x v="516"/>
    <x v="4"/>
    <x v="26"/>
    <x v="4"/>
    <x v="0"/>
    <n v="60"/>
    <x v="2"/>
    <x v="13"/>
    <x v="470"/>
    <n v="489.49542343598472"/>
  </r>
  <r>
    <x v="517"/>
    <x v="5"/>
    <x v="47"/>
    <x v="5"/>
    <x v="1"/>
    <n v="95"/>
    <x v="0"/>
    <x v="0"/>
    <x v="471"/>
    <n v="582.86676147115486"/>
  </r>
  <r>
    <x v="518"/>
    <x v="0"/>
    <x v="46"/>
    <x v="0"/>
    <x v="1"/>
    <n v="72"/>
    <x v="1"/>
    <x v="4"/>
    <x v="472"/>
    <n v="95.353750588535775"/>
  </r>
  <r>
    <x v="519"/>
    <x v="1"/>
    <x v="41"/>
    <x v="1"/>
    <x v="1"/>
    <n v="65"/>
    <x v="2"/>
    <x v="2"/>
    <x v="473"/>
    <n v="47.357203150877865"/>
  </r>
  <r>
    <x v="520"/>
    <x v="2"/>
    <x v="53"/>
    <x v="2"/>
    <x v="0"/>
    <n v="250"/>
    <x v="0"/>
    <x v="11"/>
    <x v="474"/>
    <n v="4.317983472914289"/>
  </r>
  <r>
    <x v="521"/>
    <x v="3"/>
    <x v="54"/>
    <x v="3"/>
    <x v="0"/>
    <n v="130"/>
    <x v="1"/>
    <x v="2"/>
    <x v="475"/>
    <n v="329.56979745683753"/>
  </r>
  <r>
    <x v="522"/>
    <x v="0"/>
    <x v="32"/>
    <x v="0"/>
    <x v="0"/>
    <n v="72"/>
    <x v="2"/>
    <x v="5"/>
    <x v="476"/>
    <n v="199.82571929072165"/>
  </r>
  <r>
    <x v="523"/>
    <x v="1"/>
    <x v="30"/>
    <x v="1"/>
    <x v="0"/>
    <n v="65"/>
    <x v="0"/>
    <x v="7"/>
    <x v="477"/>
    <n v="483.28406576046297"/>
  </r>
  <r>
    <x v="524"/>
    <x v="2"/>
    <x v="55"/>
    <x v="2"/>
    <x v="0"/>
    <n v="250"/>
    <x v="1"/>
    <x v="2"/>
    <x v="478"/>
    <n v="96.826710144442714"/>
  </r>
  <r>
    <x v="525"/>
    <x v="3"/>
    <x v="19"/>
    <x v="3"/>
    <x v="0"/>
    <n v="130"/>
    <x v="2"/>
    <x v="3"/>
    <x v="479"/>
    <n v="540.87989111538673"/>
  </r>
  <r>
    <x v="526"/>
    <x v="4"/>
    <x v="39"/>
    <x v="4"/>
    <x v="0"/>
    <n v="60"/>
    <x v="0"/>
    <x v="1"/>
    <x v="480"/>
    <n v="351.23641549590013"/>
  </r>
  <r>
    <x v="527"/>
    <x v="0"/>
    <x v="33"/>
    <x v="0"/>
    <x v="0"/>
    <n v="72"/>
    <x v="1"/>
    <x v="1"/>
    <x v="481"/>
    <n v="186.0157960720515"/>
  </r>
  <r>
    <x v="528"/>
    <x v="1"/>
    <x v="40"/>
    <x v="1"/>
    <x v="0"/>
    <n v="65"/>
    <x v="2"/>
    <x v="7"/>
    <x v="482"/>
    <n v="734.49014498663564"/>
  </r>
  <r>
    <x v="529"/>
    <x v="2"/>
    <x v="56"/>
    <x v="2"/>
    <x v="1"/>
    <n v="250"/>
    <x v="0"/>
    <x v="11"/>
    <x v="483"/>
    <n v="114.14276297555142"/>
  </r>
  <r>
    <x v="530"/>
    <x v="3"/>
    <x v="57"/>
    <x v="3"/>
    <x v="0"/>
    <n v="130"/>
    <x v="1"/>
    <x v="9"/>
    <x v="484"/>
    <n v="198.19855162397238"/>
  </r>
  <r>
    <x v="531"/>
    <x v="0"/>
    <x v="58"/>
    <x v="0"/>
    <x v="0"/>
    <n v="72"/>
    <x v="2"/>
    <x v="1"/>
    <x v="485"/>
    <n v="423.8809296933926"/>
  </r>
  <r>
    <x v="532"/>
    <x v="1"/>
    <x v="59"/>
    <x v="1"/>
    <x v="0"/>
    <n v="65"/>
    <x v="0"/>
    <x v="2"/>
    <x v="486"/>
    <n v="114.5613066087342"/>
  </r>
  <r>
    <x v="533"/>
    <x v="2"/>
    <x v="58"/>
    <x v="2"/>
    <x v="0"/>
    <n v="250"/>
    <x v="1"/>
    <x v="9"/>
    <x v="487"/>
    <n v="211.55791287609625"/>
  </r>
  <r>
    <x v="534"/>
    <x v="3"/>
    <x v="30"/>
    <x v="3"/>
    <x v="0"/>
    <n v="130"/>
    <x v="2"/>
    <x v="2"/>
    <x v="488"/>
    <n v="382.26796482634541"/>
  </r>
  <r>
    <x v="535"/>
    <x v="4"/>
    <x v="40"/>
    <x v="4"/>
    <x v="1"/>
    <n v="60"/>
    <x v="0"/>
    <x v="7"/>
    <x v="489"/>
    <n v="524.84885956038045"/>
  </r>
  <r>
    <x v="536"/>
    <x v="5"/>
    <x v="57"/>
    <x v="5"/>
    <x v="0"/>
    <n v="95"/>
    <x v="1"/>
    <x v="2"/>
    <x v="490"/>
    <n v="278.15359350771553"/>
  </r>
  <r>
    <x v="537"/>
    <x v="0"/>
    <x v="58"/>
    <x v="0"/>
    <x v="0"/>
    <n v="72"/>
    <x v="2"/>
    <x v="5"/>
    <x v="491"/>
    <n v="191.37568443677381"/>
  </r>
  <r>
    <x v="538"/>
    <x v="1"/>
    <x v="60"/>
    <x v="1"/>
    <x v="0"/>
    <n v="65"/>
    <x v="0"/>
    <x v="3"/>
    <x v="492"/>
    <n v="21.109134203317996"/>
  </r>
  <r>
    <x v="539"/>
    <x v="2"/>
    <x v="61"/>
    <x v="2"/>
    <x v="1"/>
    <n v="250"/>
    <x v="1"/>
    <x v="2"/>
    <x v="493"/>
    <n v="13.804523667437785"/>
  </r>
  <r>
    <x v="540"/>
    <x v="3"/>
    <x v="56"/>
    <x v="3"/>
    <x v="1"/>
    <n v="130"/>
    <x v="2"/>
    <x v="3"/>
    <x v="494"/>
    <n v="491.83297996345271"/>
  </r>
  <r>
    <x v="541"/>
    <x v="0"/>
    <x v="30"/>
    <x v="0"/>
    <x v="1"/>
    <n v="72"/>
    <x v="0"/>
    <x v="5"/>
    <x v="495"/>
    <n v="191.24275876441925"/>
  </r>
  <r>
    <x v="542"/>
    <x v="1"/>
    <x v="43"/>
    <x v="1"/>
    <x v="1"/>
    <n v="65"/>
    <x v="1"/>
    <x v="12"/>
    <x v="496"/>
    <n v="339.5405937667843"/>
  </r>
  <r>
    <x v="543"/>
    <x v="2"/>
    <x v="62"/>
    <x v="2"/>
    <x v="1"/>
    <n v="250"/>
    <x v="2"/>
    <x v="11"/>
    <x v="497"/>
    <n v="133.07459896940779"/>
  </r>
  <r>
    <x v="544"/>
    <x v="3"/>
    <x v="51"/>
    <x v="3"/>
    <x v="1"/>
    <n v="130"/>
    <x v="0"/>
    <x v="2"/>
    <x v="498"/>
    <n v="149.60103448173095"/>
  </r>
  <r>
    <x v="545"/>
    <x v="0"/>
    <x v="63"/>
    <x v="0"/>
    <x v="0"/>
    <n v="72"/>
    <x v="0"/>
    <x v="14"/>
    <x v="499"/>
    <n v="440.8753375089467"/>
  </r>
  <r>
    <x v="546"/>
    <x v="1"/>
    <x v="64"/>
    <x v="1"/>
    <x v="1"/>
    <n v="65"/>
    <x v="1"/>
    <x v="5"/>
    <x v="500"/>
    <n v="166.29466297360341"/>
  </r>
  <r>
    <x v="547"/>
    <x v="2"/>
    <x v="63"/>
    <x v="2"/>
    <x v="0"/>
    <n v="250"/>
    <x v="2"/>
    <x v="9"/>
    <x v="501"/>
    <n v="378.84156193318319"/>
  </r>
  <r>
    <x v="548"/>
    <x v="3"/>
    <x v="61"/>
    <x v="3"/>
    <x v="1"/>
    <n v="130"/>
    <x v="0"/>
    <x v="3"/>
    <x v="502"/>
    <n v="87.521798619955419"/>
  </r>
  <r>
    <x v="549"/>
    <x v="0"/>
    <x v="62"/>
    <x v="0"/>
    <x v="0"/>
    <n v="72"/>
    <x v="1"/>
    <x v="6"/>
    <x v="503"/>
    <n v="120.51469123583664"/>
  </r>
  <r>
    <x v="550"/>
    <x v="1"/>
    <x v="19"/>
    <x v="1"/>
    <x v="1"/>
    <n v="65"/>
    <x v="2"/>
    <x v="3"/>
    <x v="504"/>
    <n v="310.22654286452706"/>
  </r>
  <r>
    <x v="551"/>
    <x v="2"/>
    <x v="62"/>
    <x v="2"/>
    <x v="0"/>
    <n v="250"/>
    <x v="0"/>
    <x v="11"/>
    <x v="505"/>
    <n v="105.89615915213743"/>
  </r>
  <r>
    <x v="552"/>
    <x v="3"/>
    <x v="43"/>
    <x v="3"/>
    <x v="1"/>
    <n v="130"/>
    <x v="1"/>
    <x v="2"/>
    <x v="506"/>
    <n v="146.86828615871778"/>
  </r>
  <r>
    <x v="553"/>
    <x v="4"/>
    <x v="65"/>
    <x v="4"/>
    <x v="0"/>
    <n v="60"/>
    <x v="2"/>
    <x v="1"/>
    <x v="507"/>
    <n v="355.20852313128876"/>
  </r>
  <r>
    <x v="554"/>
    <x v="0"/>
    <x v="57"/>
    <x v="0"/>
    <x v="1"/>
    <n v="72"/>
    <x v="0"/>
    <x v="7"/>
    <x v="508"/>
    <n v="554.11670352074509"/>
  </r>
  <r>
    <x v="555"/>
    <x v="1"/>
    <x v="56"/>
    <x v="1"/>
    <x v="0"/>
    <n v="65"/>
    <x v="1"/>
    <x v="7"/>
    <x v="509"/>
    <n v="412.36298885563457"/>
  </r>
  <r>
    <x v="556"/>
    <x v="2"/>
    <x v="66"/>
    <x v="2"/>
    <x v="1"/>
    <n v="250"/>
    <x v="2"/>
    <x v="2"/>
    <x v="510"/>
    <n v="257.6104937432325"/>
  </r>
  <r>
    <x v="557"/>
    <x v="3"/>
    <x v="37"/>
    <x v="3"/>
    <x v="0"/>
    <n v="130"/>
    <x v="0"/>
    <x v="3"/>
    <x v="511"/>
    <n v="607.50985288739457"/>
  </r>
  <r>
    <x v="558"/>
    <x v="0"/>
    <x v="45"/>
    <x v="0"/>
    <x v="1"/>
    <n v="72"/>
    <x v="1"/>
    <x v="4"/>
    <x v="512"/>
    <n v="281.33122304256875"/>
  </r>
  <r>
    <x v="559"/>
    <x v="1"/>
    <x v="67"/>
    <x v="1"/>
    <x v="0"/>
    <n v="65"/>
    <x v="2"/>
    <x v="6"/>
    <x v="513"/>
    <n v="564.77320025147822"/>
  </r>
  <r>
    <x v="560"/>
    <x v="2"/>
    <x v="43"/>
    <x v="2"/>
    <x v="1"/>
    <n v="250"/>
    <x v="0"/>
    <x v="2"/>
    <x v="514"/>
    <n v="192.30967820057344"/>
  </r>
  <r>
    <x v="561"/>
    <x v="3"/>
    <x v="68"/>
    <x v="3"/>
    <x v="0"/>
    <n v="130"/>
    <x v="1"/>
    <x v="3"/>
    <x v="515"/>
    <n v="7.8083771064569873"/>
  </r>
  <r>
    <x v="562"/>
    <x v="4"/>
    <x v="69"/>
    <x v="4"/>
    <x v="0"/>
    <n v="60"/>
    <x v="2"/>
    <x v="4"/>
    <x v="516"/>
    <n v="32.657133589659956"/>
  </r>
  <r>
    <x v="563"/>
    <x v="5"/>
    <x v="52"/>
    <x v="5"/>
    <x v="1"/>
    <n v="95"/>
    <x v="0"/>
    <x v="0"/>
    <x v="517"/>
    <n v="2.8036679008382182"/>
  </r>
  <r>
    <x v="564"/>
    <x v="0"/>
    <x v="19"/>
    <x v="0"/>
    <x v="1"/>
    <n v="72"/>
    <x v="1"/>
    <x v="6"/>
    <x v="518"/>
    <n v="189.00615669895708"/>
  </r>
  <r>
    <x v="565"/>
    <x v="1"/>
    <x v="47"/>
    <x v="1"/>
    <x v="1"/>
    <n v="65"/>
    <x v="2"/>
    <x v="5"/>
    <x v="519"/>
    <n v="39.044794304528232"/>
  </r>
  <r>
    <x v="566"/>
    <x v="2"/>
    <x v="70"/>
    <x v="2"/>
    <x v="0"/>
    <n v="250"/>
    <x v="0"/>
    <x v="4"/>
    <x v="520"/>
    <n v="900.3406042704795"/>
  </r>
  <r>
    <x v="567"/>
    <x v="3"/>
    <x v="71"/>
    <x v="3"/>
    <x v="0"/>
    <n v="130"/>
    <x v="1"/>
    <x v="4"/>
    <x v="521"/>
    <n v="17.120840712967237"/>
  </r>
  <r>
    <x v="568"/>
    <x v="0"/>
    <x v="58"/>
    <x v="0"/>
    <x v="0"/>
    <n v="72"/>
    <x v="2"/>
    <x v="6"/>
    <x v="522"/>
    <n v="615.08427213669813"/>
  </r>
  <r>
    <x v="569"/>
    <x v="1"/>
    <x v="19"/>
    <x v="1"/>
    <x v="0"/>
    <n v="65"/>
    <x v="0"/>
    <x v="0"/>
    <x v="523"/>
    <n v="0.79051807483685455"/>
  </r>
  <r>
    <x v="570"/>
    <x v="2"/>
    <x v="32"/>
    <x v="2"/>
    <x v="0"/>
    <n v="250"/>
    <x v="1"/>
    <x v="11"/>
    <x v="524"/>
    <n v="30.57409141008441"/>
  </r>
  <r>
    <x v="571"/>
    <x v="3"/>
    <x v="60"/>
    <x v="3"/>
    <x v="0"/>
    <n v="130"/>
    <x v="2"/>
    <x v="2"/>
    <x v="525"/>
    <n v="182.35468672407808"/>
  </r>
  <r>
    <x v="572"/>
    <x v="4"/>
    <x v="21"/>
    <x v="4"/>
    <x v="0"/>
    <n v="60"/>
    <x v="0"/>
    <x v="8"/>
    <x v="526"/>
    <n v="485.67615879392218"/>
  </r>
  <r>
    <x v="573"/>
    <x v="0"/>
    <x v="53"/>
    <x v="0"/>
    <x v="0"/>
    <n v="72"/>
    <x v="1"/>
    <x v="4"/>
    <x v="527"/>
    <n v="233.30912146128506"/>
  </r>
  <r>
    <x v="574"/>
    <x v="1"/>
    <x v="72"/>
    <x v="1"/>
    <x v="0"/>
    <n v="65"/>
    <x v="2"/>
    <x v="7"/>
    <x v="528"/>
    <n v="141.03816360262479"/>
  </r>
  <r>
    <x v="575"/>
    <x v="2"/>
    <x v="32"/>
    <x v="2"/>
    <x v="1"/>
    <n v="250"/>
    <x v="0"/>
    <x v="2"/>
    <x v="529"/>
    <n v="160.37782900371494"/>
  </r>
  <r>
    <x v="576"/>
    <x v="3"/>
    <x v="73"/>
    <x v="3"/>
    <x v="0"/>
    <n v="130"/>
    <x v="1"/>
    <x v="5"/>
    <x v="530"/>
    <n v="397.05595082605362"/>
  </r>
  <r>
    <x v="577"/>
    <x v="0"/>
    <x v="74"/>
    <x v="0"/>
    <x v="0"/>
    <n v="72"/>
    <x v="2"/>
    <x v="3"/>
    <x v="531"/>
    <n v="304.32112269512459"/>
  </r>
  <r>
    <x v="578"/>
    <x v="1"/>
    <x v="75"/>
    <x v="1"/>
    <x v="0"/>
    <n v="65"/>
    <x v="0"/>
    <x v="12"/>
    <x v="532"/>
    <n v="448.78679961422193"/>
  </r>
  <r>
    <x v="579"/>
    <x v="2"/>
    <x v="76"/>
    <x v="2"/>
    <x v="0"/>
    <n v="250"/>
    <x v="1"/>
    <x v="9"/>
    <x v="533"/>
    <n v="215.36742967852163"/>
  </r>
  <r>
    <x v="580"/>
    <x v="3"/>
    <x v="61"/>
    <x v="3"/>
    <x v="0"/>
    <n v="130"/>
    <x v="2"/>
    <x v="9"/>
    <x v="534"/>
    <n v="91.840815826433058"/>
  </r>
  <r>
    <x v="581"/>
    <x v="4"/>
    <x v="71"/>
    <x v="4"/>
    <x v="1"/>
    <n v="60"/>
    <x v="0"/>
    <x v="14"/>
    <x v="535"/>
    <n v="376.96816666199004"/>
  </r>
  <r>
    <x v="582"/>
    <x v="5"/>
    <x v="59"/>
    <x v="5"/>
    <x v="0"/>
    <n v="95"/>
    <x v="1"/>
    <x v="5"/>
    <x v="536"/>
    <n v="375.69702860639228"/>
  </r>
  <r>
    <x v="583"/>
    <x v="0"/>
    <x v="77"/>
    <x v="0"/>
    <x v="0"/>
    <n v="72"/>
    <x v="2"/>
    <x v="1"/>
    <x v="537"/>
    <n v="74.966203538397608"/>
  </r>
  <r>
    <x v="584"/>
    <x v="1"/>
    <x v="19"/>
    <x v="1"/>
    <x v="0"/>
    <n v="65"/>
    <x v="0"/>
    <x v="0"/>
    <x v="538"/>
    <n v="457.75915097608748"/>
  </r>
  <r>
    <x v="585"/>
    <x v="2"/>
    <x v="70"/>
    <x v="2"/>
    <x v="1"/>
    <n v="250"/>
    <x v="1"/>
    <x v="4"/>
    <x v="539"/>
    <n v="715.7654532531792"/>
  </r>
  <r>
    <x v="586"/>
    <x v="3"/>
    <x v="46"/>
    <x v="3"/>
    <x v="1"/>
    <n v="130"/>
    <x v="2"/>
    <x v="5"/>
    <x v="540"/>
    <n v="19.063619510043296"/>
  </r>
  <r>
    <x v="587"/>
    <x v="0"/>
    <x v="39"/>
    <x v="0"/>
    <x v="1"/>
    <n v="72"/>
    <x v="0"/>
    <x v="4"/>
    <x v="541"/>
    <n v="213.04329514086012"/>
  </r>
  <r>
    <x v="588"/>
    <x v="1"/>
    <x v="39"/>
    <x v="1"/>
    <x v="1"/>
    <n v="65"/>
    <x v="1"/>
    <x v="6"/>
    <x v="542"/>
    <n v="417.67868215598463"/>
  </r>
  <r>
    <x v="589"/>
    <x v="2"/>
    <x v="19"/>
    <x v="2"/>
    <x v="1"/>
    <n v="250"/>
    <x v="2"/>
    <x v="11"/>
    <x v="543"/>
    <n v="171.71854624935122"/>
  </r>
  <r>
    <x v="590"/>
    <x v="3"/>
    <x v="26"/>
    <x v="3"/>
    <x v="1"/>
    <n v="130"/>
    <x v="0"/>
    <x v="2"/>
    <x v="544"/>
    <n v="63.910131182800924"/>
  </r>
  <r>
    <x v="591"/>
    <x v="0"/>
    <x v="51"/>
    <x v="0"/>
    <x v="0"/>
    <n v="72"/>
    <x v="0"/>
    <x v="5"/>
    <x v="545"/>
    <n v="333.99307878595209"/>
  </r>
  <r>
    <x v="592"/>
    <x v="1"/>
    <x v="51"/>
    <x v="1"/>
    <x v="1"/>
    <n v="65"/>
    <x v="1"/>
    <x v="8"/>
    <x v="546"/>
    <n v="797.78148619736498"/>
  </r>
  <r>
    <x v="593"/>
    <x v="2"/>
    <x v="62"/>
    <x v="2"/>
    <x v="0"/>
    <n v="250"/>
    <x v="2"/>
    <x v="11"/>
    <x v="547"/>
    <n v="102.16250268588048"/>
  </r>
  <r>
    <x v="594"/>
    <x v="3"/>
    <x v="54"/>
    <x v="3"/>
    <x v="1"/>
    <n v="130"/>
    <x v="0"/>
    <x v="2"/>
    <x v="548"/>
    <n v="116.93444840352275"/>
  </r>
  <r>
    <x v="595"/>
    <x v="0"/>
    <x v="53"/>
    <x v="0"/>
    <x v="0"/>
    <n v="72"/>
    <x v="1"/>
    <x v="5"/>
    <x v="549"/>
    <n v="198.66721176378843"/>
  </r>
  <r>
    <x v="596"/>
    <x v="1"/>
    <x v="53"/>
    <x v="1"/>
    <x v="1"/>
    <n v="65"/>
    <x v="2"/>
    <x v="7"/>
    <x v="550"/>
    <n v="391.14677675855393"/>
  </r>
  <r>
    <x v="597"/>
    <x v="2"/>
    <x v="67"/>
    <x v="2"/>
    <x v="0"/>
    <n v="250"/>
    <x v="0"/>
    <x v="2"/>
    <x v="551"/>
    <n v="56.485155650314809"/>
  </r>
  <r>
    <x v="598"/>
    <x v="3"/>
    <x v="30"/>
    <x v="3"/>
    <x v="1"/>
    <n v="130"/>
    <x v="1"/>
    <x v="4"/>
    <x v="552"/>
    <n v="44.255181123707004"/>
  </r>
  <r>
    <x v="599"/>
    <x v="4"/>
    <x v="52"/>
    <x v="4"/>
    <x v="0"/>
    <n v="60"/>
    <x v="2"/>
    <x v="12"/>
    <x v="553"/>
    <n v="74.789437807506701"/>
  </r>
  <r>
    <x v="600"/>
    <x v="0"/>
    <x v="66"/>
    <x v="0"/>
    <x v="1"/>
    <n v="72"/>
    <x v="0"/>
    <x v="2"/>
    <x v="554"/>
    <n v="10.718123940792605"/>
  </r>
  <r>
    <x v="601"/>
    <x v="1"/>
    <x v="56"/>
    <x v="1"/>
    <x v="0"/>
    <n v="65"/>
    <x v="1"/>
    <x v="0"/>
    <x v="555"/>
    <n v="163.72151027408529"/>
  </r>
  <r>
    <x v="602"/>
    <x v="2"/>
    <x v="53"/>
    <x v="2"/>
    <x v="1"/>
    <n v="250"/>
    <x v="2"/>
    <x v="2"/>
    <x v="556"/>
    <n v="105.47973442734437"/>
  </r>
  <r>
    <x v="603"/>
    <x v="3"/>
    <x v="61"/>
    <x v="3"/>
    <x v="0"/>
    <n v="130"/>
    <x v="0"/>
    <x v="9"/>
    <x v="557"/>
    <n v="82.733222013103429"/>
  </r>
  <r>
    <x v="604"/>
    <x v="0"/>
    <x v="66"/>
    <x v="0"/>
    <x v="1"/>
    <n v="72"/>
    <x v="1"/>
    <x v="7"/>
    <x v="558"/>
    <n v="500.99440165699025"/>
  </r>
  <r>
    <x v="605"/>
    <x v="1"/>
    <x v="53"/>
    <x v="1"/>
    <x v="0"/>
    <n v="65"/>
    <x v="2"/>
    <x v="8"/>
    <x v="559"/>
    <n v="209.09275217381463"/>
  </r>
  <r>
    <x v="606"/>
    <x v="2"/>
    <x v="44"/>
    <x v="2"/>
    <x v="1"/>
    <n v="250"/>
    <x v="0"/>
    <x v="9"/>
    <x v="560"/>
    <n v="195.32191950979143"/>
  </r>
  <r>
    <x v="607"/>
    <x v="3"/>
    <x v="78"/>
    <x v="3"/>
    <x v="0"/>
    <n v="130"/>
    <x v="1"/>
    <x v="4"/>
    <x v="561"/>
    <n v="431.78605744810932"/>
  </r>
  <r>
    <x v="608"/>
    <x v="4"/>
    <x v="41"/>
    <x v="4"/>
    <x v="0"/>
    <n v="60"/>
    <x v="2"/>
    <x v="4"/>
    <x v="562"/>
    <n v="171.80620455670854"/>
  </r>
  <r>
    <x v="609"/>
    <x v="5"/>
    <x v="62"/>
    <x v="5"/>
    <x v="1"/>
    <n v="95"/>
    <x v="0"/>
    <x v="0"/>
    <x v="563"/>
    <n v="188.77815534995713"/>
  </r>
  <r>
    <x v="610"/>
    <x v="0"/>
    <x v="72"/>
    <x v="0"/>
    <x v="1"/>
    <n v="72"/>
    <x v="1"/>
    <x v="14"/>
    <x v="564"/>
    <n v="437.32805448244181"/>
  </r>
  <r>
    <x v="611"/>
    <x v="1"/>
    <x v="30"/>
    <x v="1"/>
    <x v="1"/>
    <n v="65"/>
    <x v="2"/>
    <x v="1"/>
    <x v="565"/>
    <n v="12.192213173816352"/>
  </r>
  <r>
    <x v="612"/>
    <x v="2"/>
    <x v="69"/>
    <x v="2"/>
    <x v="0"/>
    <n v="250"/>
    <x v="0"/>
    <x v="2"/>
    <x v="566"/>
    <n v="341.34002656534966"/>
  </r>
  <r>
    <x v="613"/>
    <x v="3"/>
    <x v="71"/>
    <x v="3"/>
    <x v="0"/>
    <n v="130"/>
    <x v="1"/>
    <x v="5"/>
    <x v="567"/>
    <n v="337.50868543168679"/>
  </r>
  <r>
    <x v="614"/>
    <x v="0"/>
    <x v="67"/>
    <x v="0"/>
    <x v="0"/>
    <n v="72"/>
    <x v="2"/>
    <x v="1"/>
    <x v="568"/>
    <n v="404.76957946711997"/>
  </r>
  <r>
    <x v="615"/>
    <x v="1"/>
    <x v="68"/>
    <x v="1"/>
    <x v="0"/>
    <n v="65"/>
    <x v="0"/>
    <x v="2"/>
    <x v="569"/>
    <n v="66.718179852656263"/>
  </r>
  <r>
    <x v="616"/>
    <x v="2"/>
    <x v="48"/>
    <x v="2"/>
    <x v="0"/>
    <n v="250"/>
    <x v="1"/>
    <x v="11"/>
    <x v="570"/>
    <n v="124.09056871139046"/>
  </r>
  <r>
    <x v="617"/>
    <x v="3"/>
    <x v="26"/>
    <x v="3"/>
    <x v="0"/>
    <n v="130"/>
    <x v="2"/>
    <x v="3"/>
    <x v="571"/>
    <n v="562.38000930603391"/>
  </r>
  <r>
    <x v="618"/>
    <x v="4"/>
    <x v="76"/>
    <x v="4"/>
    <x v="0"/>
    <n v="60"/>
    <x v="0"/>
    <x v="1"/>
    <x v="572"/>
    <n v="39.531586234745873"/>
  </r>
  <r>
    <x v="619"/>
    <x v="0"/>
    <x v="45"/>
    <x v="0"/>
    <x v="0"/>
    <n v="72"/>
    <x v="1"/>
    <x v="1"/>
    <x v="573"/>
    <n v="314.67050593738753"/>
  </r>
  <r>
    <x v="620"/>
    <x v="1"/>
    <x v="63"/>
    <x v="1"/>
    <x v="0"/>
    <n v="65"/>
    <x v="2"/>
    <x v="12"/>
    <x v="574"/>
    <n v="383.53553513940176"/>
  </r>
  <r>
    <x v="621"/>
    <x v="2"/>
    <x v="58"/>
    <x v="2"/>
    <x v="1"/>
    <n v="250"/>
    <x v="0"/>
    <x v="11"/>
    <x v="575"/>
    <n v="115.73595818233062"/>
  </r>
  <r>
    <x v="622"/>
    <x v="3"/>
    <x v="62"/>
    <x v="3"/>
    <x v="0"/>
    <n v="130"/>
    <x v="1"/>
    <x v="3"/>
    <x v="576"/>
    <n v="346.51858170015845"/>
  </r>
  <r>
    <x v="623"/>
    <x v="0"/>
    <x v="79"/>
    <x v="0"/>
    <x v="0"/>
    <n v="72"/>
    <x v="2"/>
    <x v="12"/>
    <x v="577"/>
    <n v="655.96731802637623"/>
  </r>
  <r>
    <x v="624"/>
    <x v="1"/>
    <x v="70"/>
    <x v="1"/>
    <x v="0"/>
    <n v="65"/>
    <x v="0"/>
    <x v="1"/>
    <x v="578"/>
    <n v="256.20151426880653"/>
  </r>
  <r>
    <x v="625"/>
    <x v="2"/>
    <x v="64"/>
    <x v="2"/>
    <x v="0"/>
    <n v="250"/>
    <x v="1"/>
    <x v="9"/>
    <x v="579"/>
    <n v="368.24137954229388"/>
  </r>
  <r>
    <x v="626"/>
    <x v="3"/>
    <x v="37"/>
    <x v="3"/>
    <x v="0"/>
    <n v="130"/>
    <x v="2"/>
    <x v="2"/>
    <x v="580"/>
    <n v="264.92336909370374"/>
  </r>
  <r>
    <x v="627"/>
    <x v="4"/>
    <x v="54"/>
    <x v="4"/>
    <x v="1"/>
    <n v="60"/>
    <x v="0"/>
    <x v="4"/>
    <x v="581"/>
    <n v="82.918825384754186"/>
  </r>
  <r>
    <x v="628"/>
    <x v="5"/>
    <x v="40"/>
    <x v="5"/>
    <x v="0"/>
    <n v="95"/>
    <x v="1"/>
    <x v="4"/>
    <x v="582"/>
    <n v="94.633088785954669"/>
  </r>
  <r>
    <x v="629"/>
    <x v="0"/>
    <x v="43"/>
    <x v="0"/>
    <x v="0"/>
    <n v="72"/>
    <x v="2"/>
    <x v="0"/>
    <x v="583"/>
    <n v="522.50973886823613"/>
  </r>
  <r>
    <x v="630"/>
    <x v="1"/>
    <x v="50"/>
    <x v="1"/>
    <x v="0"/>
    <n v="65"/>
    <x v="0"/>
    <x v="7"/>
    <x v="584"/>
    <n v="625.85461021877222"/>
  </r>
  <r>
    <x v="631"/>
    <x v="2"/>
    <x v="21"/>
    <x v="2"/>
    <x v="1"/>
    <n v="250"/>
    <x v="1"/>
    <x v="2"/>
    <x v="585"/>
    <n v="162.09696833280751"/>
  </r>
  <r>
    <x v="632"/>
    <x v="3"/>
    <x v="80"/>
    <x v="3"/>
    <x v="1"/>
    <n v="130"/>
    <x v="2"/>
    <x v="9"/>
    <x v="586"/>
    <n v="39.374421143660058"/>
  </r>
  <r>
    <x v="633"/>
    <x v="0"/>
    <x v="17"/>
    <x v="0"/>
    <x v="1"/>
    <n v="72"/>
    <x v="0"/>
    <x v="14"/>
    <x v="587"/>
    <n v="188.43345193100384"/>
  </r>
  <r>
    <x v="634"/>
    <x v="1"/>
    <x v="48"/>
    <x v="1"/>
    <x v="1"/>
    <n v="65"/>
    <x v="1"/>
    <x v="6"/>
    <x v="588"/>
    <n v="581.47652763932888"/>
  </r>
  <r>
    <x v="635"/>
    <x v="2"/>
    <x v="77"/>
    <x v="2"/>
    <x v="1"/>
    <n v="250"/>
    <x v="2"/>
    <x v="9"/>
    <x v="589"/>
    <n v="81.455950920163446"/>
  </r>
  <r>
    <x v="636"/>
    <x v="3"/>
    <x v="40"/>
    <x v="3"/>
    <x v="1"/>
    <n v="130"/>
    <x v="0"/>
    <x v="2"/>
    <x v="590"/>
    <n v="126.96112328195987"/>
  </r>
  <r>
    <x v="637"/>
    <x v="0"/>
    <x v="46"/>
    <x v="0"/>
    <x v="0"/>
    <n v="72"/>
    <x v="0"/>
    <x v="6"/>
    <x v="591"/>
    <n v="317.73706839661475"/>
  </r>
  <r>
    <x v="638"/>
    <x v="1"/>
    <x v="26"/>
    <x v="1"/>
    <x v="1"/>
    <n v="65"/>
    <x v="1"/>
    <x v="5"/>
    <x v="592"/>
    <n v="199.79979618041932"/>
  </r>
  <r>
    <x v="639"/>
    <x v="2"/>
    <x v="67"/>
    <x v="2"/>
    <x v="0"/>
    <n v="250"/>
    <x v="2"/>
    <x v="2"/>
    <x v="593"/>
    <n v="91.250055470341593"/>
  </r>
  <r>
    <x v="640"/>
    <x v="3"/>
    <x v="29"/>
    <x v="3"/>
    <x v="1"/>
    <n v="130"/>
    <x v="0"/>
    <x v="2"/>
    <x v="594"/>
    <n v="376.64527439539449"/>
  </r>
  <r>
    <x v="641"/>
    <x v="0"/>
    <x v="58"/>
    <x v="0"/>
    <x v="0"/>
    <n v="72"/>
    <x v="1"/>
    <x v="12"/>
    <x v="595"/>
    <n v="382.23741176659769"/>
  </r>
  <r>
    <x v="642"/>
    <x v="1"/>
    <x v="48"/>
    <x v="1"/>
    <x v="1"/>
    <n v="65"/>
    <x v="2"/>
    <x v="8"/>
    <x v="596"/>
    <n v="801.42328364339198"/>
  </r>
  <r>
    <x v="643"/>
    <x v="2"/>
    <x v="44"/>
    <x v="2"/>
    <x v="0"/>
    <n v="250"/>
    <x v="0"/>
    <x v="2"/>
    <x v="597"/>
    <n v="668.62725678025674"/>
  </r>
  <r>
    <x v="644"/>
    <x v="3"/>
    <x v="81"/>
    <x v="3"/>
    <x v="1"/>
    <n v="130"/>
    <x v="1"/>
    <x v="2"/>
    <x v="598"/>
    <n v="15.342553074393333"/>
  </r>
  <r>
    <x v="645"/>
    <x v="4"/>
    <x v="71"/>
    <x v="4"/>
    <x v="0"/>
    <n v="60"/>
    <x v="2"/>
    <x v="5"/>
    <x v="599"/>
    <n v="224.25204988524155"/>
  </r>
  <r>
    <x v="646"/>
    <x v="0"/>
    <x v="70"/>
    <x v="0"/>
    <x v="1"/>
    <n v="72"/>
    <x v="0"/>
    <x v="5"/>
    <x v="600"/>
    <n v="27.150216346363727"/>
  </r>
  <r>
    <x v="647"/>
    <x v="1"/>
    <x v="70"/>
    <x v="1"/>
    <x v="0"/>
    <n v="65"/>
    <x v="1"/>
    <x v="3"/>
    <x v="601"/>
    <n v="178.30469611020808"/>
  </r>
  <r>
    <x v="648"/>
    <x v="2"/>
    <x v="73"/>
    <x v="2"/>
    <x v="1"/>
    <n v="250"/>
    <x v="2"/>
    <x v="2"/>
    <x v="602"/>
    <n v="710.70243568180319"/>
  </r>
  <r>
    <x v="649"/>
    <x v="3"/>
    <x v="81"/>
    <x v="3"/>
    <x v="0"/>
    <n v="130"/>
    <x v="0"/>
    <x v="5"/>
    <x v="603"/>
    <n v="470.93230575212317"/>
  </r>
  <r>
    <x v="650"/>
    <x v="0"/>
    <x v="29"/>
    <x v="0"/>
    <x v="1"/>
    <n v="72"/>
    <x v="1"/>
    <x v="3"/>
    <x v="604"/>
    <n v="119.0726749072967"/>
  </r>
  <r>
    <x v="651"/>
    <x v="1"/>
    <x v="43"/>
    <x v="1"/>
    <x v="0"/>
    <n v="65"/>
    <x v="2"/>
    <x v="14"/>
    <x v="605"/>
    <n v="553.33180467317061"/>
  </r>
  <r>
    <x v="652"/>
    <x v="2"/>
    <x v="40"/>
    <x v="2"/>
    <x v="1"/>
    <n v="250"/>
    <x v="0"/>
    <x v="9"/>
    <x v="606"/>
    <n v="371.50701431381339"/>
  </r>
  <r>
    <x v="653"/>
    <x v="3"/>
    <x v="78"/>
    <x v="3"/>
    <x v="0"/>
    <n v="130"/>
    <x v="1"/>
    <x v="9"/>
    <x v="607"/>
    <n v="60.170057903415007"/>
  </r>
  <r>
    <x v="654"/>
    <x v="4"/>
    <x v="43"/>
    <x v="4"/>
    <x v="0"/>
    <n v="60"/>
    <x v="2"/>
    <x v="14"/>
    <x v="608"/>
    <n v="317.68818051103409"/>
  </r>
  <r>
    <x v="655"/>
    <x v="5"/>
    <x v="48"/>
    <x v="5"/>
    <x v="1"/>
    <n v="95"/>
    <x v="0"/>
    <x v="2"/>
    <x v="609"/>
    <n v="154.40063406657143"/>
  </r>
  <r>
    <x v="656"/>
    <x v="0"/>
    <x v="42"/>
    <x v="0"/>
    <x v="1"/>
    <n v="72"/>
    <x v="1"/>
    <x v="5"/>
    <x v="610"/>
    <n v="31.946398259765019"/>
  </r>
  <r>
    <x v="657"/>
    <x v="1"/>
    <x v="59"/>
    <x v="1"/>
    <x v="1"/>
    <n v="65"/>
    <x v="2"/>
    <x v="0"/>
    <x v="611"/>
    <n v="52.093935811560712"/>
  </r>
  <r>
    <x v="658"/>
    <x v="2"/>
    <x v="61"/>
    <x v="2"/>
    <x v="0"/>
    <n v="250"/>
    <x v="0"/>
    <x v="9"/>
    <x v="612"/>
    <n v="484.02908799999557"/>
  </r>
  <r>
    <x v="659"/>
    <x v="3"/>
    <x v="77"/>
    <x v="3"/>
    <x v="0"/>
    <n v="130"/>
    <x v="1"/>
    <x v="9"/>
    <x v="613"/>
    <n v="191.96621816803329"/>
  </r>
  <r>
    <x v="660"/>
    <x v="0"/>
    <x v="69"/>
    <x v="0"/>
    <x v="0"/>
    <n v="72"/>
    <x v="2"/>
    <x v="6"/>
    <x v="614"/>
    <n v="191.46052467622971"/>
  </r>
  <r>
    <x v="661"/>
    <x v="1"/>
    <x v="19"/>
    <x v="1"/>
    <x v="0"/>
    <n v="65"/>
    <x v="0"/>
    <x v="4"/>
    <x v="615"/>
    <n v="228.82352895424478"/>
  </r>
  <r>
    <x v="662"/>
    <x v="2"/>
    <x v="46"/>
    <x v="2"/>
    <x v="0"/>
    <n v="250"/>
    <x v="1"/>
    <x v="11"/>
    <x v="616"/>
    <n v="209.64972815786805"/>
  </r>
  <r>
    <x v="663"/>
    <x v="3"/>
    <x v="69"/>
    <x v="3"/>
    <x v="0"/>
    <n v="130"/>
    <x v="2"/>
    <x v="3"/>
    <x v="617"/>
    <n v="298.19906721498927"/>
  </r>
  <r>
    <x v="664"/>
    <x v="4"/>
    <x v="54"/>
    <x v="4"/>
    <x v="0"/>
    <n v="60"/>
    <x v="0"/>
    <x v="7"/>
    <x v="618"/>
    <n v="683.45390954071615"/>
  </r>
  <r>
    <x v="665"/>
    <x v="0"/>
    <x v="71"/>
    <x v="0"/>
    <x v="0"/>
    <n v="72"/>
    <x v="1"/>
    <x v="5"/>
    <x v="619"/>
    <n v="103.42608133164224"/>
  </r>
  <r>
    <x v="666"/>
    <x v="1"/>
    <x v="48"/>
    <x v="1"/>
    <x v="0"/>
    <n v="65"/>
    <x v="2"/>
    <x v="5"/>
    <x v="620"/>
    <n v="26.119522924330816"/>
  </r>
  <r>
    <x v="667"/>
    <x v="2"/>
    <x v="37"/>
    <x v="2"/>
    <x v="1"/>
    <n v="250"/>
    <x v="0"/>
    <x v="9"/>
    <x v="621"/>
    <n v="160.73414307953715"/>
  </r>
  <r>
    <x v="668"/>
    <x v="3"/>
    <x v="49"/>
    <x v="3"/>
    <x v="0"/>
    <n v="130"/>
    <x v="1"/>
    <x v="4"/>
    <x v="622"/>
    <n v="456.8931350862519"/>
  </r>
  <r>
    <x v="669"/>
    <x v="0"/>
    <x v="50"/>
    <x v="0"/>
    <x v="0"/>
    <n v="72"/>
    <x v="2"/>
    <x v="14"/>
    <x v="623"/>
    <n v="273.48501175228313"/>
  </r>
  <r>
    <x v="670"/>
    <x v="1"/>
    <x v="67"/>
    <x v="1"/>
    <x v="0"/>
    <n v="65"/>
    <x v="0"/>
    <x v="0"/>
    <x v="624"/>
    <n v="246.03419948766742"/>
  </r>
  <r>
    <x v="671"/>
    <x v="2"/>
    <x v="68"/>
    <x v="2"/>
    <x v="0"/>
    <n v="250"/>
    <x v="1"/>
    <x v="9"/>
    <x v="625"/>
    <n v="214.93208927607239"/>
  </r>
  <r>
    <x v="672"/>
    <x v="3"/>
    <x v="68"/>
    <x v="3"/>
    <x v="0"/>
    <n v="130"/>
    <x v="2"/>
    <x v="9"/>
    <x v="626"/>
    <n v="173.45475833395267"/>
  </r>
  <r>
    <x v="673"/>
    <x v="4"/>
    <x v="47"/>
    <x v="4"/>
    <x v="1"/>
    <n v="60"/>
    <x v="0"/>
    <x v="10"/>
    <x v="627"/>
    <n v="687.86863059720372"/>
  </r>
  <r>
    <x v="674"/>
    <x v="5"/>
    <x v="69"/>
    <x v="5"/>
    <x v="0"/>
    <n v="95"/>
    <x v="1"/>
    <x v="2"/>
    <x v="628"/>
    <n v="66.485587688243712"/>
  </r>
  <r>
    <x v="675"/>
    <x v="0"/>
    <x v="77"/>
    <x v="0"/>
    <x v="0"/>
    <n v="72"/>
    <x v="2"/>
    <x v="5"/>
    <x v="629"/>
    <n v="150.1055972088584"/>
  </r>
  <r>
    <x v="676"/>
    <x v="1"/>
    <x v="41"/>
    <x v="1"/>
    <x v="0"/>
    <n v="65"/>
    <x v="0"/>
    <x v="7"/>
    <x v="630"/>
    <n v="61.137868266466249"/>
  </r>
  <r>
    <x v="677"/>
    <x v="2"/>
    <x v="69"/>
    <x v="2"/>
    <x v="1"/>
    <n v="250"/>
    <x v="1"/>
    <x v="9"/>
    <x v="631"/>
    <n v="422.4478967964049"/>
  </r>
  <r>
    <x v="678"/>
    <x v="3"/>
    <x v="63"/>
    <x v="3"/>
    <x v="1"/>
    <n v="130"/>
    <x v="2"/>
    <x v="9"/>
    <x v="632"/>
    <n v="0.24323300659227387"/>
  </r>
  <r>
    <x v="679"/>
    <x v="0"/>
    <x v="41"/>
    <x v="0"/>
    <x v="1"/>
    <n v="72"/>
    <x v="0"/>
    <x v="0"/>
    <x v="633"/>
    <n v="361.50591871499608"/>
  </r>
  <r>
    <x v="680"/>
    <x v="1"/>
    <x v="45"/>
    <x v="1"/>
    <x v="1"/>
    <n v="65"/>
    <x v="1"/>
    <x v="14"/>
    <x v="634"/>
    <n v="385.00753539144915"/>
  </r>
  <r>
    <x v="681"/>
    <x v="2"/>
    <x v="57"/>
    <x v="2"/>
    <x v="1"/>
    <n v="250"/>
    <x v="2"/>
    <x v="2"/>
    <x v="635"/>
    <n v="408.32145711503284"/>
  </r>
  <r>
    <x v="682"/>
    <x v="3"/>
    <x v="64"/>
    <x v="3"/>
    <x v="1"/>
    <n v="130"/>
    <x v="0"/>
    <x v="1"/>
    <x v="636"/>
    <n v="386.84730567159579"/>
  </r>
  <r>
    <x v="683"/>
    <x v="0"/>
    <x v="33"/>
    <x v="0"/>
    <x v="0"/>
    <n v="72"/>
    <x v="0"/>
    <x v="14"/>
    <x v="637"/>
    <n v="46.449235066562913"/>
  </r>
  <r>
    <x v="684"/>
    <x v="1"/>
    <x v="40"/>
    <x v="1"/>
    <x v="1"/>
    <n v="65"/>
    <x v="1"/>
    <x v="8"/>
    <x v="638"/>
    <n v="734.55981259243731"/>
  </r>
  <r>
    <x v="685"/>
    <x v="2"/>
    <x v="70"/>
    <x v="2"/>
    <x v="0"/>
    <n v="250"/>
    <x v="2"/>
    <x v="11"/>
    <x v="639"/>
    <n v="220.22054817278712"/>
  </r>
  <r>
    <x v="686"/>
    <x v="3"/>
    <x v="55"/>
    <x v="3"/>
    <x v="1"/>
    <n v="130"/>
    <x v="0"/>
    <x v="9"/>
    <x v="640"/>
    <n v="39.16306713745977"/>
  </r>
  <r>
    <x v="687"/>
    <x v="0"/>
    <x v="48"/>
    <x v="0"/>
    <x v="0"/>
    <n v="72"/>
    <x v="1"/>
    <x v="14"/>
    <x v="641"/>
    <n v="479.06725379039301"/>
  </r>
  <r>
    <x v="688"/>
    <x v="1"/>
    <x v="78"/>
    <x v="1"/>
    <x v="1"/>
    <n v="65"/>
    <x v="2"/>
    <x v="4"/>
    <x v="642"/>
    <n v="248.76711927494785"/>
  </r>
  <r>
    <x v="689"/>
    <x v="2"/>
    <x v="65"/>
    <x v="2"/>
    <x v="0"/>
    <n v="250"/>
    <x v="0"/>
    <x v="2"/>
    <x v="643"/>
    <n v="48.038063114643869"/>
  </r>
  <r>
    <x v="690"/>
    <x v="3"/>
    <x v="80"/>
    <x v="3"/>
    <x v="1"/>
    <n v="130"/>
    <x v="1"/>
    <x v="4"/>
    <x v="644"/>
    <n v="513.41356721241948"/>
  </r>
  <r>
    <x v="691"/>
    <x v="4"/>
    <x v="42"/>
    <x v="4"/>
    <x v="0"/>
    <n v="60"/>
    <x v="2"/>
    <x v="8"/>
    <x v="645"/>
    <n v="526.71116539873492"/>
  </r>
  <r>
    <x v="692"/>
    <x v="0"/>
    <x v="21"/>
    <x v="0"/>
    <x v="1"/>
    <n v="72"/>
    <x v="0"/>
    <x v="2"/>
    <x v="646"/>
    <n v="145.4768210753455"/>
  </r>
  <r>
    <x v="693"/>
    <x v="1"/>
    <x v="30"/>
    <x v="1"/>
    <x v="0"/>
    <n v="65"/>
    <x v="1"/>
    <x v="6"/>
    <x v="647"/>
    <n v="371.75936489043238"/>
  </r>
  <r>
    <x v="694"/>
    <x v="2"/>
    <x v="17"/>
    <x v="2"/>
    <x v="1"/>
    <n v="250"/>
    <x v="2"/>
    <x v="2"/>
    <x v="648"/>
    <n v="614.91052817080617"/>
  </r>
  <r>
    <x v="695"/>
    <x v="3"/>
    <x v="48"/>
    <x v="3"/>
    <x v="0"/>
    <n v="130"/>
    <x v="0"/>
    <x v="3"/>
    <x v="649"/>
    <n v="347.85765465755202"/>
  </r>
  <r>
    <x v="696"/>
    <x v="0"/>
    <x v="17"/>
    <x v="0"/>
    <x v="1"/>
    <n v="72"/>
    <x v="1"/>
    <x v="6"/>
    <x v="650"/>
    <n v="109.83177927723955"/>
  </r>
  <r>
    <x v="697"/>
    <x v="1"/>
    <x v="75"/>
    <x v="1"/>
    <x v="0"/>
    <n v="65"/>
    <x v="2"/>
    <x v="1"/>
    <x v="651"/>
    <n v="386.44919256862289"/>
  </r>
  <r>
    <x v="698"/>
    <x v="2"/>
    <x v="44"/>
    <x v="2"/>
    <x v="1"/>
    <n v="250"/>
    <x v="0"/>
    <x v="9"/>
    <x v="652"/>
    <n v="167.78978932269166"/>
  </r>
  <r>
    <x v="699"/>
    <x v="3"/>
    <x v="41"/>
    <x v="3"/>
    <x v="0"/>
    <n v="130"/>
    <x v="1"/>
    <x v="1"/>
    <x v="653"/>
    <n v="798.89626333551905"/>
  </r>
  <r>
    <x v="700"/>
    <x v="4"/>
    <x v="37"/>
    <x v="4"/>
    <x v="0"/>
    <n v="60"/>
    <x v="2"/>
    <x v="0"/>
    <x v="654"/>
    <n v="469.2173989325766"/>
  </r>
  <r>
    <x v="701"/>
    <x v="5"/>
    <x v="65"/>
    <x v="5"/>
    <x v="1"/>
    <n v="95"/>
    <x v="0"/>
    <x v="9"/>
    <x v="655"/>
    <n v="90.383438725102792"/>
  </r>
  <r>
    <x v="702"/>
    <x v="0"/>
    <x v="40"/>
    <x v="0"/>
    <x v="1"/>
    <n v="72"/>
    <x v="1"/>
    <x v="3"/>
    <x v="656"/>
    <n v="345.93219074702108"/>
  </r>
  <r>
    <x v="703"/>
    <x v="1"/>
    <x v="26"/>
    <x v="1"/>
    <x v="1"/>
    <n v="65"/>
    <x v="2"/>
    <x v="8"/>
    <x v="657"/>
    <n v="43.502641153861099"/>
  </r>
  <r>
    <x v="704"/>
    <x v="2"/>
    <x v="46"/>
    <x v="2"/>
    <x v="0"/>
    <n v="250"/>
    <x v="0"/>
    <x v="2"/>
    <x v="658"/>
    <n v="375.6718870214321"/>
  </r>
  <r>
    <x v="705"/>
    <x v="3"/>
    <x v="82"/>
    <x v="3"/>
    <x v="0"/>
    <n v="130"/>
    <x v="1"/>
    <x v="9"/>
    <x v="659"/>
    <n v="117.68968361733674"/>
  </r>
  <r>
    <x v="706"/>
    <x v="0"/>
    <x v="56"/>
    <x v="0"/>
    <x v="0"/>
    <n v="72"/>
    <x v="2"/>
    <x v="3"/>
    <x v="660"/>
    <n v="88.9164211607646"/>
  </r>
  <r>
    <x v="707"/>
    <x v="1"/>
    <x v="62"/>
    <x v="1"/>
    <x v="0"/>
    <n v="65"/>
    <x v="0"/>
    <x v="5"/>
    <x v="661"/>
    <n v="365.11422101765089"/>
  </r>
  <r>
    <x v="708"/>
    <x v="2"/>
    <x v="74"/>
    <x v="2"/>
    <x v="0"/>
    <n v="250"/>
    <x v="1"/>
    <x v="11"/>
    <x v="662"/>
    <n v="150.62970321832032"/>
  </r>
  <r>
    <x v="709"/>
    <x v="3"/>
    <x v="26"/>
    <x v="3"/>
    <x v="0"/>
    <n v="130"/>
    <x v="2"/>
    <x v="4"/>
    <x v="663"/>
    <n v="153.00791005340423"/>
  </r>
  <r>
    <x v="710"/>
    <x v="4"/>
    <x v="43"/>
    <x v="4"/>
    <x v="0"/>
    <n v="60"/>
    <x v="0"/>
    <x v="1"/>
    <x v="664"/>
    <n v="19.788030812607516"/>
  </r>
  <r>
    <x v="711"/>
    <x v="0"/>
    <x v="57"/>
    <x v="0"/>
    <x v="0"/>
    <n v="72"/>
    <x v="1"/>
    <x v="5"/>
    <x v="665"/>
    <n v="189.61032472340463"/>
  </r>
  <r>
    <x v="712"/>
    <x v="1"/>
    <x v="40"/>
    <x v="1"/>
    <x v="0"/>
    <n v="65"/>
    <x v="2"/>
    <x v="12"/>
    <x v="666"/>
    <n v="28.910303498635308"/>
  </r>
  <r>
    <x v="713"/>
    <x v="2"/>
    <x v="32"/>
    <x v="2"/>
    <x v="1"/>
    <n v="250"/>
    <x v="0"/>
    <x v="11"/>
    <x v="667"/>
    <n v="117.13796386785583"/>
  </r>
  <r>
    <x v="714"/>
    <x v="3"/>
    <x v="33"/>
    <x v="3"/>
    <x v="0"/>
    <n v="130"/>
    <x v="1"/>
    <x v="9"/>
    <x v="668"/>
    <n v="21.373592058260137"/>
  </r>
  <r>
    <x v="715"/>
    <x v="0"/>
    <x v="49"/>
    <x v="0"/>
    <x v="0"/>
    <n v="72"/>
    <x v="2"/>
    <x v="7"/>
    <x v="669"/>
    <n v="622.31545093978423"/>
  </r>
  <r>
    <x v="716"/>
    <x v="1"/>
    <x v="33"/>
    <x v="1"/>
    <x v="0"/>
    <n v="65"/>
    <x v="0"/>
    <x v="6"/>
    <x v="670"/>
    <n v="178.19663042827554"/>
  </r>
  <r>
    <x v="717"/>
    <x v="2"/>
    <x v="79"/>
    <x v="2"/>
    <x v="0"/>
    <n v="250"/>
    <x v="1"/>
    <x v="9"/>
    <x v="671"/>
    <n v="434.28796348234732"/>
  </r>
  <r>
    <x v="718"/>
    <x v="3"/>
    <x v="82"/>
    <x v="3"/>
    <x v="0"/>
    <n v="130"/>
    <x v="2"/>
    <x v="9"/>
    <x v="672"/>
    <n v="243.72840984990239"/>
  </r>
  <r>
    <x v="719"/>
    <x v="4"/>
    <x v="42"/>
    <x v="4"/>
    <x v="1"/>
    <n v="60"/>
    <x v="0"/>
    <x v="7"/>
    <x v="673"/>
    <n v="53.894763581741827"/>
  </r>
  <r>
    <x v="720"/>
    <x v="5"/>
    <x v="58"/>
    <x v="5"/>
    <x v="0"/>
    <n v="95"/>
    <x v="1"/>
    <x v="3"/>
    <x v="674"/>
    <n v="155.22302556200859"/>
  </r>
  <r>
    <x v="721"/>
    <x v="0"/>
    <x v="63"/>
    <x v="0"/>
    <x v="0"/>
    <n v="72"/>
    <x v="2"/>
    <x v="0"/>
    <x v="675"/>
    <n v="127.3053119510592"/>
  </r>
  <r>
    <x v="722"/>
    <x v="1"/>
    <x v="72"/>
    <x v="1"/>
    <x v="0"/>
    <n v="65"/>
    <x v="0"/>
    <x v="4"/>
    <x v="676"/>
    <n v="32.673880615695815"/>
  </r>
  <r>
    <x v="723"/>
    <x v="2"/>
    <x v="79"/>
    <x v="2"/>
    <x v="1"/>
    <n v="250"/>
    <x v="1"/>
    <x v="9"/>
    <x v="677"/>
    <n v="320.1778569899007"/>
  </r>
  <r>
    <x v="724"/>
    <x v="3"/>
    <x v="17"/>
    <x v="3"/>
    <x v="1"/>
    <n v="130"/>
    <x v="2"/>
    <x v="4"/>
    <x v="678"/>
    <n v="74.236458228985882"/>
  </r>
  <r>
    <x v="725"/>
    <x v="0"/>
    <x v="52"/>
    <x v="0"/>
    <x v="1"/>
    <n v="72"/>
    <x v="0"/>
    <x v="3"/>
    <x v="679"/>
    <n v="132.61466984641118"/>
  </r>
  <r>
    <x v="726"/>
    <x v="1"/>
    <x v="74"/>
    <x v="1"/>
    <x v="1"/>
    <n v="65"/>
    <x v="1"/>
    <x v="14"/>
    <x v="680"/>
    <n v="257.2638739653284"/>
  </r>
  <r>
    <x v="727"/>
    <x v="2"/>
    <x v="75"/>
    <x v="2"/>
    <x v="1"/>
    <n v="250"/>
    <x v="2"/>
    <x v="9"/>
    <x v="681"/>
    <n v="165.13687743137041"/>
  </r>
  <r>
    <x v="728"/>
    <x v="3"/>
    <x v="57"/>
    <x v="3"/>
    <x v="1"/>
    <n v="130"/>
    <x v="0"/>
    <x v="2"/>
    <x v="682"/>
    <n v="149.5029762839965"/>
  </r>
  <r>
    <x v="729"/>
    <x v="0"/>
    <x v="38"/>
    <x v="0"/>
    <x v="1"/>
    <n v="72"/>
    <x v="0"/>
    <x v="6"/>
    <x v="683"/>
    <n v="460.04208204101826"/>
  </r>
  <r>
    <x v="730"/>
    <x v="1"/>
    <x v="53"/>
    <x v="1"/>
    <x v="0"/>
    <n v="65"/>
    <x v="1"/>
    <x v="12"/>
    <x v="684"/>
    <n v="608.13504324284168"/>
  </r>
  <r>
    <x v="731"/>
    <x v="2"/>
    <x v="78"/>
    <x v="2"/>
    <x v="0"/>
    <n v="250"/>
    <x v="2"/>
    <x v="11"/>
    <x v="685"/>
    <n v="123.67826810774108"/>
  </r>
  <r>
    <x v="732"/>
    <x v="3"/>
    <x v="82"/>
    <x v="3"/>
    <x v="0"/>
    <n v="130"/>
    <x v="0"/>
    <x v="3"/>
    <x v="686"/>
    <n v="347.66905846596524"/>
  </r>
  <r>
    <x v="733"/>
    <x v="0"/>
    <x v="61"/>
    <x v="0"/>
    <x v="1"/>
    <n v="72"/>
    <x v="1"/>
    <x v="12"/>
    <x v="687"/>
    <n v="23.916754637476174"/>
  </r>
  <r>
    <x v="734"/>
    <x v="1"/>
    <x v="21"/>
    <x v="1"/>
    <x v="1"/>
    <n v="65"/>
    <x v="2"/>
    <x v="14"/>
    <x v="688"/>
    <n v="143.39860191413038"/>
  </r>
  <r>
    <x v="735"/>
    <x v="2"/>
    <x v="32"/>
    <x v="2"/>
    <x v="1"/>
    <n v="250"/>
    <x v="0"/>
    <x v="9"/>
    <x v="689"/>
    <n v="165.14066179327534"/>
  </r>
  <r>
    <x v="736"/>
    <x v="3"/>
    <x v="54"/>
    <x v="3"/>
    <x v="1"/>
    <n v="130"/>
    <x v="1"/>
    <x v="4"/>
    <x v="690"/>
    <n v="371.00209000523813"/>
  </r>
  <r>
    <x v="737"/>
    <x v="4"/>
    <x v="70"/>
    <x v="4"/>
    <x v="1"/>
    <n v="60"/>
    <x v="2"/>
    <x v="4"/>
    <x v="691"/>
    <n v="188.95734683473165"/>
  </r>
  <r>
    <x v="738"/>
    <x v="0"/>
    <x v="30"/>
    <x v="0"/>
    <x v="1"/>
    <n v="72"/>
    <x v="0"/>
    <x v="7"/>
    <x v="692"/>
    <n v="136.62012178456209"/>
  </r>
  <r>
    <x v="739"/>
    <x v="1"/>
    <x v="71"/>
    <x v="1"/>
    <x v="1"/>
    <n v="65"/>
    <x v="1"/>
    <x v="3"/>
    <x v="693"/>
    <n v="87.931969599983304"/>
  </r>
  <r>
    <x v="740"/>
    <x v="2"/>
    <x v="82"/>
    <x v="2"/>
    <x v="0"/>
    <n v="250"/>
    <x v="2"/>
    <x v="2"/>
    <x v="694"/>
    <n v="301.94433294488397"/>
  </r>
  <r>
    <x v="741"/>
    <x v="3"/>
    <x v="67"/>
    <x v="3"/>
    <x v="0"/>
    <n v="130"/>
    <x v="0"/>
    <x v="9"/>
    <x v="695"/>
    <n v="239.77491156194179"/>
  </r>
  <r>
    <x v="742"/>
    <x v="0"/>
    <x v="43"/>
    <x v="0"/>
    <x v="0"/>
    <n v="72"/>
    <x v="1"/>
    <x v="1"/>
    <x v="696"/>
    <n v="435.3073944838336"/>
  </r>
  <r>
    <x v="743"/>
    <x v="1"/>
    <x v="52"/>
    <x v="1"/>
    <x v="1"/>
    <n v="65"/>
    <x v="2"/>
    <x v="7"/>
    <x v="697"/>
    <n v="489.59418748449349"/>
  </r>
  <r>
    <x v="744"/>
    <x v="2"/>
    <x v="41"/>
    <x v="2"/>
    <x v="1"/>
    <n v="250"/>
    <x v="0"/>
    <x v="2"/>
    <x v="698"/>
    <n v="285.76134893212804"/>
  </r>
  <r>
    <x v="745"/>
    <x v="3"/>
    <x v="63"/>
    <x v="3"/>
    <x v="1"/>
    <n v="130"/>
    <x v="1"/>
    <x v="4"/>
    <x v="699"/>
    <n v="280.81241901776986"/>
  </r>
  <r>
    <x v="746"/>
    <x v="4"/>
    <x v="63"/>
    <x v="4"/>
    <x v="1"/>
    <n v="60"/>
    <x v="2"/>
    <x v="0"/>
    <x v="700"/>
    <n v="371.53609055810148"/>
  </r>
  <r>
    <x v="747"/>
    <x v="5"/>
    <x v="74"/>
    <x v="5"/>
    <x v="1"/>
    <n v="95"/>
    <x v="0"/>
    <x v="2"/>
    <x v="701"/>
    <n v="128.90200590172265"/>
  </r>
  <r>
    <x v="748"/>
    <x v="0"/>
    <x v="80"/>
    <x v="0"/>
    <x v="1"/>
    <n v="72"/>
    <x v="1"/>
    <x v="0"/>
    <x v="702"/>
    <n v="548.553396772312"/>
  </r>
  <r>
    <x v="749"/>
    <x v="1"/>
    <x v="37"/>
    <x v="1"/>
    <x v="1"/>
    <n v="65"/>
    <x v="2"/>
    <x v="7"/>
    <x v="703"/>
    <n v="51.327450173160372"/>
  </r>
  <r>
    <x v="750"/>
    <x v="2"/>
    <x v="58"/>
    <x v="2"/>
    <x v="0"/>
    <n v="250"/>
    <x v="0"/>
    <x v="2"/>
    <x v="704"/>
    <n v="580.71265536400665"/>
  </r>
  <r>
    <x v="751"/>
    <x v="3"/>
    <x v="67"/>
    <x v="3"/>
    <x v="0"/>
    <n v="130"/>
    <x v="1"/>
    <x v="4"/>
    <x v="705"/>
    <n v="437.6440821669147"/>
  </r>
  <r>
    <x v="752"/>
    <x v="0"/>
    <x v="45"/>
    <x v="0"/>
    <x v="0"/>
    <n v="72"/>
    <x v="2"/>
    <x v="12"/>
    <x v="706"/>
    <n v="520.58553166751904"/>
  </r>
  <r>
    <x v="753"/>
    <x v="1"/>
    <x v="77"/>
    <x v="1"/>
    <x v="1"/>
    <n v="65"/>
    <x v="0"/>
    <x v="6"/>
    <x v="707"/>
    <n v="559.51906289916485"/>
  </r>
  <r>
    <x v="754"/>
    <x v="2"/>
    <x v="39"/>
    <x v="2"/>
    <x v="1"/>
    <n v="250"/>
    <x v="1"/>
    <x v="2"/>
    <x v="708"/>
    <n v="234.51709027217768"/>
  </r>
  <r>
    <x v="755"/>
    <x v="3"/>
    <x v="17"/>
    <x v="3"/>
    <x v="1"/>
    <n v="130"/>
    <x v="2"/>
    <x v="2"/>
    <x v="709"/>
    <n v="258.81403789380522"/>
  </r>
  <r>
    <x v="756"/>
    <x v="4"/>
    <x v="74"/>
    <x v="4"/>
    <x v="1"/>
    <n v="60"/>
    <x v="0"/>
    <x v="8"/>
    <x v="710"/>
    <n v="80.45479412979094"/>
  </r>
  <r>
    <x v="757"/>
    <x v="0"/>
    <x v="26"/>
    <x v="0"/>
    <x v="1"/>
    <n v="72"/>
    <x v="1"/>
    <x v="7"/>
    <x v="711"/>
    <n v="750.37602286402443"/>
  </r>
  <r>
    <x v="758"/>
    <x v="1"/>
    <x v="48"/>
    <x v="1"/>
    <x v="1"/>
    <n v="65"/>
    <x v="2"/>
    <x v="3"/>
    <x v="712"/>
    <n v="105.65928669884907"/>
  </r>
  <r>
    <x v="759"/>
    <x v="2"/>
    <x v="58"/>
    <x v="2"/>
    <x v="0"/>
    <n v="250"/>
    <x v="0"/>
    <x v="2"/>
    <x v="713"/>
    <n v="560.91287005860431"/>
  </r>
  <r>
    <x v="760"/>
    <x v="3"/>
    <x v="74"/>
    <x v="3"/>
    <x v="1"/>
    <n v="130"/>
    <x v="1"/>
    <x v="3"/>
    <x v="714"/>
    <n v="641.07206789634347"/>
  </r>
  <r>
    <x v="761"/>
    <x v="0"/>
    <x v="50"/>
    <x v="0"/>
    <x v="0"/>
    <n v="72"/>
    <x v="2"/>
    <x v="0"/>
    <x v="715"/>
    <n v="531.47440586177595"/>
  </r>
  <r>
    <x v="762"/>
    <x v="1"/>
    <x v="49"/>
    <x v="1"/>
    <x v="1"/>
    <n v="65"/>
    <x v="0"/>
    <x v="4"/>
    <x v="716"/>
    <n v="123.96955995100208"/>
  </r>
  <r>
    <x v="763"/>
    <x v="2"/>
    <x v="46"/>
    <x v="2"/>
    <x v="0"/>
    <n v="250"/>
    <x v="1"/>
    <x v="2"/>
    <x v="717"/>
    <n v="70.752436675666772"/>
  </r>
  <r>
    <x v="764"/>
    <x v="3"/>
    <x v="38"/>
    <x v="3"/>
    <x v="1"/>
    <n v="130"/>
    <x v="2"/>
    <x v="1"/>
    <x v="718"/>
    <n v="876.01449510996633"/>
  </r>
  <r>
    <x v="765"/>
    <x v="4"/>
    <x v="80"/>
    <x v="4"/>
    <x v="0"/>
    <n v="60"/>
    <x v="0"/>
    <x v="1"/>
    <x v="719"/>
    <n v="48.410829468077679"/>
  </r>
  <r>
    <x v="766"/>
    <x v="5"/>
    <x v="42"/>
    <x v="5"/>
    <x v="1"/>
    <n v="95"/>
    <x v="1"/>
    <x v="1"/>
    <x v="720"/>
    <n v="633.20384121236327"/>
  </r>
  <r>
    <x v="767"/>
    <x v="0"/>
    <x v="79"/>
    <x v="0"/>
    <x v="0"/>
    <n v="72"/>
    <x v="2"/>
    <x v="3"/>
    <x v="721"/>
    <n v="207.78234319502039"/>
  </r>
  <r>
    <x v="768"/>
    <x v="1"/>
    <x v="46"/>
    <x v="1"/>
    <x v="1"/>
    <n v="65"/>
    <x v="0"/>
    <x v="5"/>
    <x v="722"/>
    <n v="80.552110221792589"/>
  </r>
  <r>
    <x v="769"/>
    <x v="2"/>
    <x v="42"/>
    <x v="2"/>
    <x v="0"/>
    <n v="250"/>
    <x v="1"/>
    <x v="9"/>
    <x v="723"/>
    <n v="213.01725333272597"/>
  </r>
  <r>
    <x v="770"/>
    <x v="3"/>
    <x v="47"/>
    <x v="3"/>
    <x v="1"/>
    <n v="130"/>
    <x v="2"/>
    <x v="9"/>
    <x v="724"/>
    <n v="47.267792994590764"/>
  </r>
  <r>
    <x v="771"/>
    <x v="0"/>
    <x v="47"/>
    <x v="0"/>
    <x v="0"/>
    <n v="72"/>
    <x v="0"/>
    <x v="4"/>
    <x v="725"/>
    <n v="141.66300247276544"/>
  </r>
  <r>
    <x v="772"/>
    <x v="1"/>
    <x v="19"/>
    <x v="1"/>
    <x v="1"/>
    <n v="65"/>
    <x v="1"/>
    <x v="14"/>
    <x v="726"/>
    <n v="645.60517233470978"/>
  </r>
  <r>
    <x v="773"/>
    <x v="2"/>
    <x v="80"/>
    <x v="2"/>
    <x v="0"/>
    <n v="250"/>
    <x v="2"/>
    <x v="11"/>
    <x v="727"/>
    <n v="192.08965977624996"/>
  </r>
  <r>
    <x v="774"/>
    <x v="3"/>
    <x v="54"/>
    <x v="0"/>
    <x v="1"/>
    <n v="72"/>
    <x v="0"/>
    <x v="7"/>
    <x v="728"/>
    <n v="856.64860762590411"/>
  </r>
  <r>
    <x v="775"/>
    <x v="0"/>
    <x v="43"/>
    <x v="1"/>
    <x v="0"/>
    <n v="65"/>
    <x v="0"/>
    <x v="12"/>
    <x v="729"/>
    <n v="97.797765025019629"/>
  </r>
  <r>
    <x v="776"/>
    <x v="1"/>
    <x v="81"/>
    <x v="2"/>
    <x v="1"/>
    <n v="250"/>
    <x v="1"/>
    <x v="9"/>
    <x v="730"/>
    <n v="1.1065449953336914"/>
  </r>
  <r>
    <x v="777"/>
    <x v="2"/>
    <x v="48"/>
    <x v="3"/>
    <x v="1"/>
    <n v="130"/>
    <x v="2"/>
    <x v="1"/>
    <x v="731"/>
    <n v="861.50626297693066"/>
  </r>
  <r>
    <x v="778"/>
    <x v="3"/>
    <x v="37"/>
    <x v="0"/>
    <x v="1"/>
    <n v="72"/>
    <x v="0"/>
    <x v="5"/>
    <x v="732"/>
    <n v="254.45698767375865"/>
  </r>
  <r>
    <x v="779"/>
    <x v="0"/>
    <x v="66"/>
    <x v="1"/>
    <x v="1"/>
    <n v="65"/>
    <x v="1"/>
    <x v="4"/>
    <x v="733"/>
    <n v="70.530091020878444"/>
  </r>
  <r>
    <x v="780"/>
    <x v="1"/>
    <x v="63"/>
    <x v="2"/>
    <x v="1"/>
    <n v="250"/>
    <x v="2"/>
    <x v="9"/>
    <x v="734"/>
    <n v="338.95546474812892"/>
  </r>
  <r>
    <x v="781"/>
    <x v="2"/>
    <x v="39"/>
    <x v="3"/>
    <x v="0"/>
    <n v="130"/>
    <x v="0"/>
    <x v="4"/>
    <x v="735"/>
    <n v="272.30454468111373"/>
  </r>
  <r>
    <x v="782"/>
    <x v="3"/>
    <x v="42"/>
    <x v="4"/>
    <x v="1"/>
    <n v="60"/>
    <x v="1"/>
    <x v="0"/>
    <x v="736"/>
    <n v="335.10033994536587"/>
  </r>
  <r>
    <x v="783"/>
    <x v="4"/>
    <x v="30"/>
    <x v="0"/>
    <x v="0"/>
    <n v="72"/>
    <x v="2"/>
    <x v="4"/>
    <x v="737"/>
    <n v="201.02550061389658"/>
  </r>
  <r>
    <x v="784"/>
    <x v="0"/>
    <x v="66"/>
    <x v="1"/>
    <x v="1"/>
    <n v="65"/>
    <x v="0"/>
    <x v="3"/>
    <x v="738"/>
    <n v="139.52383156529666"/>
  </r>
  <r>
    <x v="785"/>
    <x v="1"/>
    <x v="42"/>
    <x v="2"/>
    <x v="0"/>
    <n v="250"/>
    <x v="1"/>
    <x v="2"/>
    <x v="739"/>
    <n v="211.4069124179793"/>
  </r>
  <r>
    <x v="786"/>
    <x v="2"/>
    <x v="83"/>
    <x v="3"/>
    <x v="1"/>
    <n v="130"/>
    <x v="2"/>
    <x v="4"/>
    <x v="740"/>
    <n v="484.2301650749543"/>
  </r>
  <r>
    <x v="787"/>
    <x v="3"/>
    <x v="79"/>
    <x v="0"/>
    <x v="0"/>
    <n v="72"/>
    <x v="0"/>
    <x v="3"/>
    <x v="741"/>
    <n v="236.41427193103448"/>
  </r>
  <r>
    <x v="788"/>
    <x v="0"/>
    <x v="70"/>
    <x v="1"/>
    <x v="1"/>
    <n v="65"/>
    <x v="1"/>
    <x v="1"/>
    <x v="742"/>
    <n v="124.36389294539916"/>
  </r>
  <r>
    <x v="789"/>
    <x v="1"/>
    <x v="55"/>
    <x v="2"/>
    <x v="0"/>
    <n v="250"/>
    <x v="2"/>
    <x v="11"/>
    <x v="743"/>
    <n v="65.217131313548066"/>
  </r>
  <r>
    <x v="790"/>
    <x v="2"/>
    <x v="51"/>
    <x v="3"/>
    <x v="1"/>
    <n v="130"/>
    <x v="0"/>
    <x v="5"/>
    <x v="744"/>
    <n v="217.40927248704924"/>
  </r>
  <r>
    <x v="791"/>
    <x v="3"/>
    <x v="77"/>
    <x v="4"/>
    <x v="0"/>
    <n v="60"/>
    <x v="1"/>
    <x v="8"/>
    <x v="745"/>
    <n v="182.60957920424812"/>
  </r>
  <r>
    <x v="792"/>
    <x v="4"/>
    <x v="30"/>
    <x v="5"/>
    <x v="1"/>
    <n v="95"/>
    <x v="2"/>
    <x v="5"/>
    <x v="746"/>
    <n v="197.11081340216691"/>
  </r>
  <r>
    <x v="793"/>
    <x v="5"/>
    <x v="70"/>
    <x v="0"/>
    <x v="0"/>
    <n v="72"/>
    <x v="0"/>
    <x v="7"/>
    <x v="747"/>
    <n v="853.847675380307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D3B454-9E44-4C09-AE03-D2A13F7AD222}" name="PivotTable1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3:B50" firstHeaderRow="1" firstDataRow="1" firstDataCol="1"/>
  <pivotFields count="11">
    <pivotField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numFmtId="15" showAll="0"/>
    <pivotField axis="axisRow" showAll="0" sortType="descending">
      <items count="7">
        <item x="5"/>
        <item x="1"/>
        <item x="2"/>
        <item x="3"/>
        <item x="4"/>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items count="16">
        <item x="11"/>
        <item x="9"/>
        <item x="2"/>
        <item x="4"/>
        <item x="3"/>
        <item x="5"/>
        <item x="1"/>
        <item x="0"/>
        <item x="6"/>
        <item x="14"/>
        <item x="12"/>
        <item x="7"/>
        <item x="8"/>
        <item x="10"/>
        <item x="13"/>
        <item t="default"/>
      </items>
    </pivotField>
    <pivotField numFmtId="10" showAll="0"/>
    <pivotField dataField="1" numFmtId="164" showAll="0"/>
    <pivotField showAll="0" defaultSubtotal="0"/>
  </pivotFields>
  <rowFields count="1">
    <field x="3"/>
  </rowFields>
  <rowItems count="7">
    <i>
      <x v="5"/>
    </i>
    <i>
      <x v="3"/>
    </i>
    <i>
      <x v="2"/>
    </i>
    <i>
      <x v="1"/>
    </i>
    <i>
      <x v="4"/>
    </i>
    <i>
      <x/>
    </i>
    <i t="grand">
      <x/>
    </i>
  </rowItems>
  <colItems count="1">
    <i/>
  </colItems>
  <dataFields count="1">
    <dataField name="Sum of Revenue" fld="9"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5"/>
          </reference>
        </references>
      </pivotArea>
    </chartFormat>
    <chartFormat chart="0" format="2">
      <pivotArea type="data" outline="0" fieldPosition="0">
        <references count="2">
          <reference field="4294967294" count="1" selected="0">
            <x v="0"/>
          </reference>
          <reference field="3" count="1" selected="0">
            <x v="3"/>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0"/>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3" count="1" selected="0">
            <x v="5"/>
          </reference>
        </references>
      </pivotArea>
    </chartFormat>
    <chartFormat chart="2" format="16">
      <pivotArea type="data" outline="0" fieldPosition="0">
        <references count="2">
          <reference field="4294967294" count="1" selected="0">
            <x v="0"/>
          </reference>
          <reference field="3" count="1" selected="0">
            <x v="3"/>
          </reference>
        </references>
      </pivotArea>
    </chartFormat>
    <chartFormat chart="2" format="17">
      <pivotArea type="data" outline="0" fieldPosition="0">
        <references count="2">
          <reference field="4294967294" count="1" selected="0">
            <x v="0"/>
          </reference>
          <reference field="3" count="1" selected="0">
            <x v="2"/>
          </reference>
        </references>
      </pivotArea>
    </chartFormat>
    <chartFormat chart="2" format="18">
      <pivotArea type="data" outline="0" fieldPosition="0">
        <references count="2">
          <reference field="4294967294" count="1" selected="0">
            <x v="0"/>
          </reference>
          <reference field="3" count="1" selected="0">
            <x v="1"/>
          </reference>
        </references>
      </pivotArea>
    </chartFormat>
    <chartFormat chart="2" format="19">
      <pivotArea type="data" outline="0" fieldPosition="0">
        <references count="2">
          <reference field="4294967294" count="1" selected="0">
            <x v="0"/>
          </reference>
          <reference field="3" count="1" selected="0">
            <x v="4"/>
          </reference>
        </references>
      </pivotArea>
    </chartFormat>
    <chartFormat chart="2" format="20">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3B1837-F95B-4BF9-B8EE-07E5DFF51873}"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7:B32" firstHeaderRow="1" firstDataRow="1" firstDataCol="1"/>
  <pivotFields count="11">
    <pivotField dataField="1" showAll="0"/>
    <pivotField showAll="0"/>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3">
        <item x="0"/>
        <item x="1"/>
        <item t="default"/>
      </items>
    </pivotField>
    <pivotField showAll="0"/>
    <pivotField showAll="0"/>
    <pivotField showAll="0"/>
    <pivotField numFmtId="10" showAll="0"/>
    <pivotField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0"/>
    <field x="2"/>
  </rowFields>
  <rowItems count="5">
    <i>
      <x v="6"/>
    </i>
    <i>
      <x v="7"/>
    </i>
    <i>
      <x v="8"/>
    </i>
    <i>
      <x v="9"/>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5F86F5-4CF0-4E08-918C-A18F8BEE47BD}"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2:A13" firstHeaderRow="1" firstDataRow="1" firstDataCol="0"/>
  <pivotFields count="11">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numFmtId="10" showAll="0"/>
    <pivotField numFmtId="164"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Discount" fld="8" subtotal="average" baseField="0" baseItem="8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7FDC89-F5E7-42B1-B076-74C84BA41AE7}"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7:B24" firstHeaderRow="1" firstDataRow="1" firstDataCol="1"/>
  <pivotFields count="11">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7">
        <item x="5"/>
        <item x="1"/>
        <item x="2"/>
        <item x="3"/>
        <item x="4"/>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dataField="1" showAll="0"/>
    <pivotField numFmtId="10" showAll="0"/>
    <pivotField numFmtId="164" showAll="0"/>
    <pivotField showAll="0">
      <items count="15">
        <item x="0"/>
        <item x="1"/>
        <item x="2"/>
        <item x="3"/>
        <item x="4"/>
        <item x="5"/>
        <item x="6"/>
        <item x="7"/>
        <item x="8"/>
        <item x="9"/>
        <item x="10"/>
        <item x="11"/>
        <item x="12"/>
        <item x="13"/>
        <item t="default"/>
      </items>
    </pivotField>
  </pivotFields>
  <rowFields count="1">
    <field x="3"/>
  </rowFields>
  <rowItems count="7">
    <i>
      <x v="1"/>
    </i>
    <i>
      <x v="5"/>
    </i>
    <i>
      <x v="3"/>
    </i>
    <i>
      <x v="4"/>
    </i>
    <i>
      <x v="2"/>
    </i>
    <i>
      <x/>
    </i>
    <i t="grand">
      <x/>
    </i>
  </rowItems>
  <colItems count="1">
    <i/>
  </colItems>
  <dataFields count="1">
    <dataField name="Sum of No of Products in one Sale" fld="7"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D420A3-5614-48E0-85A1-CCBAF2678E53}" name="PivotTable1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D27:E116" firstHeaderRow="1" firstDataRow="1" firstDataCol="1"/>
  <pivotFields count="11">
    <pivotField dataField="1" showAll="0"/>
    <pivotField showAll="0"/>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3">
        <item x="0"/>
        <item x="1"/>
        <item t="default"/>
      </items>
    </pivotField>
    <pivotField showAll="0"/>
    <pivotField showAll="0"/>
    <pivotField showAll="0"/>
    <pivotField numFmtId="10" showAll="0"/>
    <pivotField numFmtId="164" showAll="0"/>
    <pivotField axis="axisRow" showAll="0" defaultSubtotal="0">
      <items count="14">
        <item sd="0" x="0"/>
        <item sd="0" x="1"/>
        <item sd="0" x="2"/>
        <item sd="0" x="3"/>
        <item sd="0" x="4"/>
        <item sd="0" x="5"/>
        <item x="6"/>
        <item x="7"/>
        <item x="8"/>
        <item x="9"/>
        <item sd="0" x="10"/>
        <item sd="0" x="11"/>
        <item sd="0" x="12"/>
        <item sd="0" x="13"/>
      </items>
    </pivotField>
  </pivotFields>
  <rowFields count="2">
    <field x="10"/>
    <field x="2"/>
  </rowFields>
  <rowItems count="89">
    <i>
      <x v="6"/>
    </i>
    <i r="1">
      <x v="165"/>
    </i>
    <i r="1">
      <x v="166"/>
    </i>
    <i r="1">
      <x v="167"/>
    </i>
    <i r="1">
      <x v="168"/>
    </i>
    <i r="1">
      <x v="169"/>
    </i>
    <i r="1">
      <x v="170"/>
    </i>
    <i r="1">
      <x v="171"/>
    </i>
    <i r="1">
      <x v="172"/>
    </i>
    <i r="1">
      <x v="173"/>
    </i>
    <i r="1">
      <x v="174"/>
    </i>
    <i r="1">
      <x v="175"/>
    </i>
    <i r="1">
      <x v="176"/>
    </i>
    <i r="1">
      <x v="177"/>
    </i>
    <i r="1">
      <x v="178"/>
    </i>
    <i r="1">
      <x v="179"/>
    </i>
    <i r="1">
      <x v="180"/>
    </i>
    <i r="1">
      <x v="182"/>
    </i>
    <i>
      <x v="7"/>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8"/>
    </i>
    <i r="1">
      <x v="209"/>
    </i>
    <i r="1">
      <x v="210"/>
    </i>
    <i r="1">
      <x v="211"/>
    </i>
    <i r="1">
      <x v="212"/>
    </i>
    <i r="1">
      <x v="213"/>
    </i>
    <i>
      <x v="8"/>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x v="9"/>
    </i>
    <i r="1">
      <x v="245"/>
    </i>
    <i r="1">
      <x v="246"/>
    </i>
    <i r="1">
      <x v="247"/>
    </i>
    <i r="1">
      <x v="248"/>
    </i>
    <i r="1">
      <x v="249"/>
    </i>
    <i r="1">
      <x v="250"/>
    </i>
    <i t="grand">
      <x/>
    </i>
  </rowItems>
  <colItems count="1">
    <i/>
  </colItems>
  <dataFields count="1">
    <dataField name="Count of Order ID" fld="0" subtotal="count" baseField="0" baseItem="0"/>
  </dataFields>
  <chartFormats count="3">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3">
          <reference field="4294967294" count="1" selected="0">
            <x v="0"/>
          </reference>
          <reference field="2" count="1" selected="0">
            <x v="247"/>
          </reference>
          <reference field="1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2E1292-2972-4700-8528-104E763EB7DF}" name="PivotTable1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H27:I116" firstHeaderRow="1" firstDataRow="1" firstDataCol="1"/>
  <pivotFields count="11">
    <pivotField showAll="0"/>
    <pivotField showAll="0"/>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3">
        <item x="0"/>
        <item x="1"/>
        <item t="default"/>
      </items>
    </pivotField>
    <pivotField showAll="0"/>
    <pivotField showAll="0"/>
    <pivotField showAll="0"/>
    <pivotField numFmtId="10" showAll="0"/>
    <pivotField dataField="1" numFmtId="164" showAll="0"/>
    <pivotField axis="axisRow" showAll="0" defaultSubtotal="0">
      <items count="14">
        <item sd="0" x="0"/>
        <item sd="0" x="1"/>
        <item sd="0" x="2"/>
        <item sd="0" x="3"/>
        <item sd="0" x="4"/>
        <item sd="0" x="5"/>
        <item x="6"/>
        <item x="7"/>
        <item x="8"/>
        <item x="9"/>
        <item sd="0" x="10"/>
        <item sd="0" x="11"/>
        <item sd="0" x="12"/>
        <item sd="0" x="13"/>
      </items>
    </pivotField>
  </pivotFields>
  <rowFields count="2">
    <field x="10"/>
    <field x="2"/>
  </rowFields>
  <rowItems count="89">
    <i>
      <x v="6"/>
    </i>
    <i r="1">
      <x v="165"/>
    </i>
    <i r="1">
      <x v="166"/>
    </i>
    <i r="1">
      <x v="167"/>
    </i>
    <i r="1">
      <x v="168"/>
    </i>
    <i r="1">
      <x v="169"/>
    </i>
    <i r="1">
      <x v="170"/>
    </i>
    <i r="1">
      <x v="171"/>
    </i>
    <i r="1">
      <x v="172"/>
    </i>
    <i r="1">
      <x v="173"/>
    </i>
    <i r="1">
      <x v="174"/>
    </i>
    <i r="1">
      <x v="175"/>
    </i>
    <i r="1">
      <x v="176"/>
    </i>
    <i r="1">
      <x v="177"/>
    </i>
    <i r="1">
      <x v="178"/>
    </i>
    <i r="1">
      <x v="179"/>
    </i>
    <i r="1">
      <x v="180"/>
    </i>
    <i r="1">
      <x v="182"/>
    </i>
    <i>
      <x v="7"/>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8"/>
    </i>
    <i r="1">
      <x v="209"/>
    </i>
    <i r="1">
      <x v="210"/>
    </i>
    <i r="1">
      <x v="211"/>
    </i>
    <i r="1">
      <x v="212"/>
    </i>
    <i r="1">
      <x v="213"/>
    </i>
    <i>
      <x v="8"/>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x v="9"/>
    </i>
    <i r="1">
      <x v="245"/>
    </i>
    <i r="1">
      <x v="246"/>
    </i>
    <i r="1">
      <x v="247"/>
    </i>
    <i r="1">
      <x v="248"/>
    </i>
    <i r="1">
      <x v="249"/>
    </i>
    <i r="1">
      <x v="250"/>
    </i>
    <i t="grand">
      <x/>
    </i>
  </rowItems>
  <colItems count="1">
    <i/>
  </colItems>
  <dataFields count="1">
    <dataField name="Sum of Revenue" fld="9"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655BCA-ED0D-4EF1-905F-008C2A6A99AC}"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4:H5" firstHeaderRow="0" firstDataRow="1" firstDataCol="0"/>
  <pivotFields count="11">
    <pivotField dataField="1" showAll="0"/>
    <pivotField showAll="0"/>
    <pivotField numFmtId="15" showAll="0"/>
    <pivotField showAll="0"/>
    <pivotField showAll="0">
      <items count="3">
        <item x="0"/>
        <item x="1"/>
        <item t="default"/>
      </items>
    </pivotField>
    <pivotField showAll="0"/>
    <pivotField showAll="0"/>
    <pivotField showAll="0"/>
    <pivotField dataField="1" numFmtId="10" showAll="0"/>
    <pivotField dataField="1" numFmtId="164" showAll="0"/>
    <pivotField showAll="0" defaultSubtotal="0"/>
  </pivotFields>
  <rowItems count="1">
    <i/>
  </rowItems>
  <colFields count="1">
    <field x="-2"/>
  </colFields>
  <colItems count="4">
    <i>
      <x/>
    </i>
    <i i="1">
      <x v="1"/>
    </i>
    <i i="2">
      <x v="2"/>
    </i>
    <i i="3">
      <x v="3"/>
    </i>
  </colItems>
  <dataFields count="4">
    <dataField name="Count of Order ID" fld="0" subtotal="count" baseField="0" baseItem="0"/>
    <dataField name="Sum of Revenue" fld="9" baseField="0" baseItem="0"/>
    <dataField name="Average of Revenue" fld="9" subtotal="average" baseField="0" baseItem="1"/>
    <dataField name="Average of Discount" fld="8" subtotal="average" baseField="0"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C94AE3-FBF4-4FA5-A01E-56B635C075C3}"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1">
    <pivotField dataField="1"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numFmtId="9" showAll="0"/>
    <pivotField numFmtId="164"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C81CBD-059D-4D03-836E-467F87330964}" name="PivotTable1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5:B40" firstHeaderRow="1" firstDataRow="1" firstDataCol="1"/>
  <pivotFields count="11">
    <pivotField showAll="0"/>
    <pivotField showAll="0"/>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3">
        <item x="0"/>
        <item x="1"/>
        <item t="default"/>
      </items>
    </pivotField>
    <pivotField showAll="0"/>
    <pivotField showAll="0"/>
    <pivotField showAll="0"/>
    <pivotField numFmtId="10" showAll="0"/>
    <pivotField dataField="1"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0"/>
    <field x="2"/>
  </rowFields>
  <rowItems count="5">
    <i>
      <x v="6"/>
    </i>
    <i>
      <x v="7"/>
    </i>
    <i>
      <x v="8"/>
    </i>
    <i>
      <x v="9"/>
    </i>
    <i t="grand">
      <x/>
    </i>
  </rowItems>
  <colItems count="1">
    <i/>
  </colItems>
  <dataFields count="1">
    <dataField name="Sum of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E962FC6-2A86-4A94-87DD-FEFEC40B3CD2}"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A10" firstHeaderRow="1" firstDataRow="1" firstDataCol="0"/>
  <pivotFields count="11">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numFmtId="10" showAll="0"/>
    <pivotField dataField="1" numFmtId="164"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9" subtotal="average" baseField="0" baseItem="3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BE649BD-12A8-40F4-A775-5B2EDCB8300F}"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A7" firstHeaderRow="1" firstDataRow="1" firstDataCol="0"/>
  <pivotFields count="11">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numFmtId="9" showAll="0"/>
    <pivotField dataField="1" numFmtId="164"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13F0E8F-DD3D-4DE9-A586-D84D6164E13E}" name="PivotTable1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3:B57" firstHeaderRow="1" firstDataRow="1" firstDataCol="1"/>
  <pivotFields count="11">
    <pivotField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items count="7">
        <item x="0"/>
        <item x="1"/>
        <item x="2"/>
        <item x="3"/>
        <item x="4"/>
        <item x="5"/>
        <item t="default"/>
      </items>
    </pivotField>
    <pivotField numFmtId="15" showAll="0"/>
    <pivotField showAll="0"/>
    <pivotField showAll="0"/>
    <pivotField showAll="0"/>
    <pivotField axis="axisRow" showAll="0">
      <items count="4">
        <item x="1"/>
        <item x="2"/>
        <item x="0"/>
        <item t="default"/>
      </items>
    </pivotField>
    <pivotField showAll="0"/>
    <pivotField dataField="1" numFmtId="10" showAll="0"/>
    <pivotField numFmtId="164" showAll="0"/>
    <pivotField showAll="0" defaultSubtotal="0"/>
  </pivotFields>
  <rowFields count="1">
    <field x="6"/>
  </rowFields>
  <rowItems count="4">
    <i>
      <x/>
    </i>
    <i>
      <x v="1"/>
    </i>
    <i>
      <x v="2"/>
    </i>
    <i t="grand">
      <x/>
    </i>
  </rowItems>
  <colItems count="1">
    <i/>
  </colItems>
  <dataFields count="1">
    <dataField name="Sum of Dis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D240F094-4081-4730-8FD1-579D9362DDB9}" sourceName="Order Type">
  <pivotTables>
    <pivotTable tabId="13" name="PivotTable6"/>
    <pivotTable tabId="13" name="PivotTable10"/>
    <pivotTable tabId="13" name="PivotTable11"/>
    <pivotTable tabId="13" name="PivotTable12"/>
    <pivotTable tabId="13" name="PivotTable14"/>
    <pivotTable tabId="13" name="PivotTable15"/>
    <pivotTable tabId="13" name="PivotTable7"/>
  </pivotTables>
  <data>
    <tabular pivotCacheId="78579030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Type 1" xr10:uid="{5B2C76B8-9677-47D3-A137-3075D71FC702}" cache="Slicer_Order_Type" caption="Order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Type" xr10:uid="{9D420255-6B58-4DAC-BC2B-B4019FD21E0E}" cache="Slicer_Order_Type" caption="Order 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BB807D8-3143-43C1-8937-A134D9EEB0B8}" name="Table3" displayName="Table3" ref="A1:I795" totalsRowShown="0">
  <autoFilter ref="A1:I795" xr:uid="{115CC47A-0580-46C0-9EAA-224BAD81DF34}"/>
  <tableColumns count="9">
    <tableColumn id="1" xr3:uid="{B05A9B18-A3B1-46E6-A126-1E520CA3CA48}" name="Order ID"/>
    <tableColumn id="2" xr3:uid="{AD8C94E5-1C0E-4D7E-A8B4-7486EA78139B}" name="Product ID"/>
    <tableColumn id="3" xr3:uid="{6CAD5F57-C360-446A-AA1F-E098F6A8FF90}" name="Sale Date" dataDxfId="2"/>
    <tableColumn id="4" xr3:uid="{9D3F10D9-C110-4DE9-8F95-30ED4EDCB542}" name="Product Name"/>
    <tableColumn id="5" xr3:uid="{190EC649-F99C-4CB4-81B2-DB2B98D889C0}" name="Order Type"/>
    <tableColumn id="6" xr3:uid="{8E4BEA69-9FFB-486D-BD98-F70D2E1BD969}" name="Price of One Product"/>
    <tableColumn id="7" xr3:uid="{CBFD2341-C4F3-41A6-91CE-98DDD956A4F4}" name="Agent"/>
    <tableColumn id="8" xr3:uid="{5ABC94A8-D595-4083-A25B-2B22ED0B35CC}" name="No of Products in one Sale" dataDxfId="1"/>
    <tableColumn id="9" xr3:uid="{E4D4338C-F834-465A-9926-8E9D5ED0260E}" name="Discount" dataDxfId="0">
      <calculatedColumnFormula>RAND()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BA074-ADF1-409E-B9A9-3F802F4305D5}">
  <dimension ref="A1:CI324"/>
  <sheetViews>
    <sheetView tabSelected="1" topLeftCell="B1" zoomScale="70" zoomScaleNormal="70" workbookViewId="0">
      <selection activeCell="W27" sqref="W27"/>
    </sheetView>
  </sheetViews>
  <sheetFormatPr defaultRowHeight="14.4" x14ac:dyDescent="0.3"/>
  <cols>
    <col min="1" max="7" width="8.88671875" style="9"/>
    <col min="8" max="8" width="32.21875" style="9" customWidth="1"/>
    <col min="9" max="9" width="8.88671875" style="9" customWidth="1"/>
    <col min="10" max="10" width="13.33203125" style="9" customWidth="1"/>
    <col min="11" max="16384" width="8.88671875" style="9"/>
  </cols>
  <sheetData>
    <row r="1" spans="1:87" ht="28.8" customHeight="1" x14ac:dyDescent="0.3">
      <c r="A1" s="13"/>
      <c r="B1" s="13"/>
      <c r="C1" s="13"/>
      <c r="D1" s="13"/>
      <c r="E1" s="13"/>
      <c r="F1" s="13"/>
      <c r="G1" s="13"/>
      <c r="H1" s="15" t="s">
        <v>834</v>
      </c>
      <c r="I1" s="14"/>
      <c r="J1" s="14"/>
      <c r="K1" s="14"/>
      <c r="L1" s="14"/>
      <c r="M1" s="14"/>
      <c r="N1" s="14"/>
      <c r="O1" s="14"/>
      <c r="P1" s="14"/>
      <c r="Q1" s="14"/>
      <c r="R1" s="14"/>
      <c r="S1" s="14"/>
      <c r="T1" s="14"/>
      <c r="U1" s="14"/>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row>
    <row r="2" spans="1:87" x14ac:dyDescent="0.3">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row>
    <row r="3" spans="1:87" x14ac:dyDescent="0.3">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row>
    <row r="4" spans="1:87" x14ac:dyDescent="0.3">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row>
    <row r="5" spans="1:87" x14ac:dyDescent="0.3">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row>
    <row r="6" spans="1:87" x14ac:dyDescent="0.3">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row>
    <row r="7" spans="1:87" x14ac:dyDescent="0.3">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row>
    <row r="8" spans="1:87" x14ac:dyDescent="0.3">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row>
    <row r="9" spans="1:87" x14ac:dyDescent="0.3">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row>
    <row r="10" spans="1:87"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row>
    <row r="11" spans="1:87"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row>
    <row r="12" spans="1:87"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row>
    <row r="13" spans="1:87"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row>
    <row r="14" spans="1:87"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row>
    <row r="15" spans="1:87"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row>
    <row r="16" spans="1:87"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row>
    <row r="17" spans="1:87"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row>
    <row r="18" spans="1:87"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row>
    <row r="19" spans="1:87"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row>
    <row r="20" spans="1:87"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row>
    <row r="21" spans="1:87"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row>
    <row r="22" spans="1:87"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row>
    <row r="23" spans="1:87"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row>
    <row r="24" spans="1:87"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row>
    <row r="25" spans="1:87"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row>
    <row r="26" spans="1:87"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row>
    <row r="27" spans="1:87"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row>
    <row r="28" spans="1:87"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row>
    <row r="29" spans="1:87"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row>
    <row r="30" spans="1:87"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row>
    <row r="31" spans="1:87"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row>
    <row r="32" spans="1:87"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row>
    <row r="33" spans="1:87"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row>
    <row r="34" spans="1:87"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row>
    <row r="35" spans="1:87"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row>
    <row r="36" spans="1:87"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row>
    <row r="37" spans="1:87"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row>
    <row r="38" spans="1:87"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row>
    <row r="39" spans="1:87"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row>
    <row r="40" spans="1:87"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row>
    <row r="41" spans="1:87"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row>
    <row r="42" spans="1:87"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row>
    <row r="43" spans="1:87" x14ac:dyDescent="0.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row>
    <row r="44" spans="1:87"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row>
    <row r="45" spans="1:87"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row>
    <row r="46" spans="1:87"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row>
    <row r="47" spans="1:87"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row>
    <row r="48" spans="1:87"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row>
    <row r="49" spans="1:87"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row>
    <row r="50" spans="1:87" x14ac:dyDescent="0.3">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row>
    <row r="51" spans="1:87" x14ac:dyDescent="0.3">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row>
    <row r="52" spans="1:87" x14ac:dyDescent="0.3">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row>
    <row r="53" spans="1:87" x14ac:dyDescent="0.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row>
    <row r="54" spans="1:87" x14ac:dyDescent="0.3">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row>
    <row r="55" spans="1:87" x14ac:dyDescent="0.3">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row>
    <row r="56" spans="1:87" x14ac:dyDescent="0.3">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row>
    <row r="57" spans="1:87" x14ac:dyDescent="0.3">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row>
    <row r="58" spans="1:87" x14ac:dyDescent="0.3">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row>
    <row r="59" spans="1:87" x14ac:dyDescent="0.3">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row>
    <row r="60" spans="1:87" x14ac:dyDescent="0.3">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row>
    <row r="61" spans="1:87" x14ac:dyDescent="0.3">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row>
    <row r="62" spans="1:87" x14ac:dyDescent="0.3">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row>
    <row r="63" spans="1:87" x14ac:dyDescent="0.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row>
    <row r="64" spans="1:87" x14ac:dyDescent="0.3">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row>
    <row r="65" spans="1:87" x14ac:dyDescent="0.3">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row>
    <row r="66" spans="1:87" x14ac:dyDescent="0.3">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row>
    <row r="67" spans="1:87" x14ac:dyDescent="0.3">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row>
    <row r="68" spans="1:87" x14ac:dyDescent="0.3">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row>
    <row r="69" spans="1:87" x14ac:dyDescent="0.3">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row>
    <row r="70" spans="1:87" x14ac:dyDescent="0.3">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row>
    <row r="71" spans="1:87" x14ac:dyDescent="0.3">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row>
    <row r="72" spans="1:87" x14ac:dyDescent="0.3">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row>
    <row r="73" spans="1:87" x14ac:dyDescent="0.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row>
    <row r="74" spans="1:87" x14ac:dyDescent="0.3">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row>
    <row r="75" spans="1:87" x14ac:dyDescent="0.3">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row>
    <row r="76" spans="1:87" x14ac:dyDescent="0.3">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row>
    <row r="77" spans="1:87" x14ac:dyDescent="0.3">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row>
    <row r="78" spans="1:87" x14ac:dyDescent="0.3">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row>
    <row r="79" spans="1:87" x14ac:dyDescent="0.3">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row>
    <row r="80" spans="1:87" x14ac:dyDescent="0.3">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row>
    <row r="81" spans="1:87" x14ac:dyDescent="0.3">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row>
    <row r="82" spans="1:87" x14ac:dyDescent="0.3">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row>
    <row r="83" spans="1:87" x14ac:dyDescent="0.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row>
    <row r="84" spans="1:87" x14ac:dyDescent="0.3">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row>
    <row r="85" spans="1:87" x14ac:dyDescent="0.3">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row>
    <row r="86" spans="1:87" x14ac:dyDescent="0.3">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row>
    <row r="87" spans="1:87" x14ac:dyDescent="0.3">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row>
    <row r="88" spans="1:87" x14ac:dyDescent="0.3">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row>
    <row r="89" spans="1:87" x14ac:dyDescent="0.3">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row>
    <row r="90" spans="1:87" x14ac:dyDescent="0.3">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row>
    <row r="91" spans="1:87" x14ac:dyDescent="0.3">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row>
    <row r="92" spans="1:87" x14ac:dyDescent="0.3">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row>
    <row r="93" spans="1:87" x14ac:dyDescent="0.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row>
    <row r="94" spans="1:87" x14ac:dyDescent="0.3">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row>
    <row r="95" spans="1:87" x14ac:dyDescent="0.3">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row>
    <row r="96" spans="1:87" x14ac:dyDescent="0.3">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row>
    <row r="97" spans="1:87" x14ac:dyDescent="0.3">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row>
    <row r="98" spans="1:87" x14ac:dyDescent="0.3">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row>
    <row r="99" spans="1:87" x14ac:dyDescent="0.3">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row>
    <row r="100" spans="1:87" x14ac:dyDescent="0.3">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row>
    <row r="101" spans="1:87" x14ac:dyDescent="0.3">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row>
    <row r="102" spans="1:87" x14ac:dyDescent="0.3">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row>
    <row r="103" spans="1:87" x14ac:dyDescent="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row>
    <row r="104" spans="1:87" x14ac:dyDescent="0.3">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row>
    <row r="105" spans="1:87" x14ac:dyDescent="0.3">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row>
    <row r="106" spans="1:87" x14ac:dyDescent="0.3">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row>
    <row r="107" spans="1:87" x14ac:dyDescent="0.3">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row>
    <row r="108" spans="1:87" x14ac:dyDescent="0.3">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row>
    <row r="109" spans="1:87" x14ac:dyDescent="0.3">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row>
    <row r="110" spans="1:87" x14ac:dyDescent="0.3">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row>
    <row r="111" spans="1:87" x14ac:dyDescent="0.3">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row>
    <row r="112" spans="1:87" x14ac:dyDescent="0.3">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row>
    <row r="113" spans="1:87" x14ac:dyDescent="0.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row>
    <row r="114" spans="1:87" x14ac:dyDescent="0.3">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row>
    <row r="115" spans="1:87" x14ac:dyDescent="0.3">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row>
    <row r="116" spans="1:87" x14ac:dyDescent="0.3">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row>
    <row r="117" spans="1:87" x14ac:dyDescent="0.3">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row>
    <row r="118" spans="1:87" x14ac:dyDescent="0.3">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row>
    <row r="119" spans="1:87" x14ac:dyDescent="0.3">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row>
    <row r="120" spans="1:87" x14ac:dyDescent="0.3">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row>
    <row r="121" spans="1:87" x14ac:dyDescent="0.3">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row>
    <row r="122" spans="1:87" x14ac:dyDescent="0.3">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row>
    <row r="123" spans="1:87" x14ac:dyDescent="0.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row>
    <row r="124" spans="1:87" x14ac:dyDescent="0.3">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row>
    <row r="125" spans="1:87" x14ac:dyDescent="0.3">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row>
    <row r="126" spans="1:87" x14ac:dyDescent="0.3">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row>
    <row r="127" spans="1:87" x14ac:dyDescent="0.3">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row>
    <row r="128" spans="1:87" x14ac:dyDescent="0.3">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row>
    <row r="129" spans="1:87" x14ac:dyDescent="0.3">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row>
    <row r="130" spans="1:87" x14ac:dyDescent="0.3">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row>
    <row r="131" spans="1:87" x14ac:dyDescent="0.3">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row>
    <row r="132" spans="1:87" x14ac:dyDescent="0.3">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row>
    <row r="133" spans="1:87" x14ac:dyDescent="0.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row>
    <row r="134" spans="1:87" x14ac:dyDescent="0.3">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row>
    <row r="135" spans="1:87" x14ac:dyDescent="0.3">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c r="CE135" s="13"/>
      <c r="CF135" s="13"/>
      <c r="CG135" s="13"/>
      <c r="CH135" s="13"/>
      <c r="CI135" s="13"/>
    </row>
    <row r="136" spans="1:87" x14ac:dyDescent="0.3">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row>
    <row r="137" spans="1:87" x14ac:dyDescent="0.3">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row>
    <row r="138" spans="1:87" x14ac:dyDescent="0.3">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row>
    <row r="139" spans="1:87" x14ac:dyDescent="0.3">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row>
    <row r="140" spans="1:87" x14ac:dyDescent="0.3">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row>
    <row r="141" spans="1:87" x14ac:dyDescent="0.3">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row>
    <row r="142" spans="1:87" x14ac:dyDescent="0.3">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row>
    <row r="143" spans="1:87" x14ac:dyDescent="0.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row>
    <row r="144" spans="1:87" x14ac:dyDescent="0.3">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row>
    <row r="145" spans="1:87" x14ac:dyDescent="0.3">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row>
    <row r="146" spans="1:87" x14ac:dyDescent="0.3">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row>
    <row r="147" spans="1:87" x14ac:dyDescent="0.3">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row>
    <row r="148" spans="1:87" x14ac:dyDescent="0.3">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row>
    <row r="149" spans="1:87" x14ac:dyDescent="0.3">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row>
    <row r="150" spans="1:87" x14ac:dyDescent="0.3">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row>
    <row r="151" spans="1:87" x14ac:dyDescent="0.3">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row>
    <row r="152" spans="1:87" x14ac:dyDescent="0.3">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row>
    <row r="153" spans="1:87" x14ac:dyDescent="0.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row>
    <row r="154" spans="1:87" x14ac:dyDescent="0.3">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row>
    <row r="155" spans="1:87" x14ac:dyDescent="0.3">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row>
    <row r="156" spans="1:87" x14ac:dyDescent="0.3">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row>
    <row r="157" spans="1:87" x14ac:dyDescent="0.3">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row>
    <row r="158" spans="1:87" x14ac:dyDescent="0.3">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row>
    <row r="159" spans="1:87" x14ac:dyDescent="0.3">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c r="CI159" s="13"/>
    </row>
    <row r="160" spans="1:87" x14ac:dyDescent="0.3">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row>
    <row r="161" spans="1:87" x14ac:dyDescent="0.3">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row>
    <row r="162" spans="1:87" x14ac:dyDescent="0.3">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c r="CC162" s="13"/>
      <c r="CD162" s="13"/>
      <c r="CE162" s="13"/>
      <c r="CF162" s="13"/>
      <c r="CG162" s="13"/>
      <c r="CH162" s="13"/>
      <c r="CI162" s="13"/>
    </row>
    <row r="163" spans="1:87" x14ac:dyDescent="0.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row>
    <row r="164" spans="1:87" x14ac:dyDescent="0.3">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row>
    <row r="165" spans="1:87" x14ac:dyDescent="0.3">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row>
    <row r="166" spans="1:87" x14ac:dyDescent="0.3">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row>
    <row r="167" spans="1:87" x14ac:dyDescent="0.3">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row>
    <row r="168" spans="1:87" x14ac:dyDescent="0.3">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row>
    <row r="169" spans="1:87" x14ac:dyDescent="0.3">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row>
    <row r="170" spans="1:87" x14ac:dyDescent="0.3">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row>
    <row r="171" spans="1:87" x14ac:dyDescent="0.3">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row>
    <row r="172" spans="1:87" x14ac:dyDescent="0.3">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row>
    <row r="173" spans="1:87" x14ac:dyDescent="0.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c r="CC173" s="13"/>
      <c r="CD173" s="13"/>
      <c r="CE173" s="13"/>
      <c r="CF173" s="13"/>
      <c r="CG173" s="13"/>
      <c r="CH173" s="13"/>
      <c r="CI173" s="13"/>
    </row>
    <row r="174" spans="1:87" x14ac:dyDescent="0.3">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row>
    <row r="175" spans="1:87" x14ac:dyDescent="0.3">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c r="CC175" s="13"/>
      <c r="CD175" s="13"/>
      <c r="CE175" s="13"/>
      <c r="CF175" s="13"/>
      <c r="CG175" s="13"/>
      <c r="CH175" s="13"/>
      <c r="CI175" s="13"/>
    </row>
    <row r="176" spans="1:87" x14ac:dyDescent="0.3">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row>
    <row r="177" spans="1:87" x14ac:dyDescent="0.3">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c r="CI177" s="13"/>
    </row>
    <row r="178" spans="1:87" x14ac:dyDescent="0.3">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c r="CI178" s="13"/>
    </row>
    <row r="179" spans="1:87" x14ac:dyDescent="0.3">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c r="CI179" s="13"/>
    </row>
    <row r="180" spans="1:87" x14ac:dyDescent="0.3">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c r="BH180" s="13"/>
      <c r="BI180" s="13"/>
      <c r="BJ180" s="13"/>
      <c r="BK180" s="13"/>
      <c r="BL180" s="13"/>
      <c r="BM180" s="13"/>
      <c r="BN180" s="13"/>
      <c r="BO180" s="13"/>
      <c r="BP180" s="13"/>
      <c r="BQ180" s="13"/>
      <c r="BR180" s="13"/>
      <c r="BS180" s="13"/>
      <c r="BT180" s="13"/>
      <c r="BU180" s="13"/>
      <c r="BV180" s="13"/>
      <c r="BW180" s="13"/>
      <c r="BX180" s="13"/>
      <c r="BY180" s="13"/>
      <c r="BZ180" s="13"/>
      <c r="CA180" s="13"/>
      <c r="CB180" s="13"/>
      <c r="CC180" s="13"/>
      <c r="CD180" s="13"/>
      <c r="CE180" s="13"/>
      <c r="CF180" s="13"/>
      <c r="CG180" s="13"/>
      <c r="CH180" s="13"/>
      <c r="CI180" s="13"/>
    </row>
    <row r="181" spans="1:87" x14ac:dyDescent="0.3">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row>
    <row r="182" spans="1:87" x14ac:dyDescent="0.3">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row>
    <row r="183" spans="1:87" x14ac:dyDescent="0.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3"/>
      <c r="BO183" s="13"/>
      <c r="BP183" s="13"/>
      <c r="BQ183" s="13"/>
      <c r="BR183" s="13"/>
      <c r="BS183" s="13"/>
      <c r="BT183" s="13"/>
      <c r="BU183" s="13"/>
      <c r="BV183" s="13"/>
      <c r="BW183" s="13"/>
      <c r="BX183" s="13"/>
      <c r="BY183" s="13"/>
      <c r="BZ183" s="13"/>
      <c r="CA183" s="13"/>
      <c r="CB183" s="13"/>
      <c r="CC183" s="13"/>
      <c r="CD183" s="13"/>
      <c r="CE183" s="13"/>
      <c r="CF183" s="13"/>
      <c r="CG183" s="13"/>
      <c r="CH183" s="13"/>
      <c r="CI183" s="13"/>
    </row>
    <row r="184" spans="1:87" x14ac:dyDescent="0.3">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row>
    <row r="185" spans="1:87" x14ac:dyDescent="0.3">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row>
    <row r="186" spans="1:87" x14ac:dyDescent="0.3">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c r="CB186" s="13"/>
      <c r="CC186" s="13"/>
      <c r="CD186" s="13"/>
      <c r="CE186" s="13"/>
      <c r="CF186" s="13"/>
      <c r="CG186" s="13"/>
      <c r="CH186" s="13"/>
      <c r="CI186" s="13"/>
    </row>
    <row r="187" spans="1:87" x14ac:dyDescent="0.3">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row>
    <row r="188" spans="1:87" x14ac:dyDescent="0.3">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c r="CI188" s="13"/>
    </row>
    <row r="189" spans="1:87" x14ac:dyDescent="0.3">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c r="CC189" s="13"/>
      <c r="CD189" s="13"/>
      <c r="CE189" s="13"/>
      <c r="CF189" s="13"/>
      <c r="CG189" s="13"/>
      <c r="CH189" s="13"/>
      <c r="CI189" s="13"/>
    </row>
    <row r="190" spans="1:87" x14ac:dyDescent="0.3">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c r="CC190" s="13"/>
      <c r="CD190" s="13"/>
      <c r="CE190" s="13"/>
      <c r="CF190" s="13"/>
      <c r="CG190" s="13"/>
      <c r="CH190" s="13"/>
      <c r="CI190" s="13"/>
    </row>
    <row r="191" spans="1:87" x14ac:dyDescent="0.3">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c r="CI191" s="13"/>
    </row>
    <row r="192" spans="1:87" x14ac:dyDescent="0.3">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c r="CI192" s="13"/>
    </row>
    <row r="193" spans="1:87" x14ac:dyDescent="0.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13"/>
      <c r="CF193" s="13"/>
      <c r="CG193" s="13"/>
      <c r="CH193" s="13"/>
      <c r="CI193" s="13"/>
    </row>
    <row r="194" spans="1:87" x14ac:dyDescent="0.3">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row>
    <row r="195" spans="1:87" x14ac:dyDescent="0.3">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c r="CE195" s="13"/>
      <c r="CF195" s="13"/>
      <c r="CG195" s="13"/>
      <c r="CH195" s="13"/>
      <c r="CI195" s="13"/>
    </row>
    <row r="196" spans="1:87" x14ac:dyDescent="0.3">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c r="CI196" s="13"/>
    </row>
    <row r="197" spans="1:87" x14ac:dyDescent="0.3">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c r="CC197" s="13"/>
      <c r="CD197" s="13"/>
      <c r="CE197" s="13"/>
      <c r="CF197" s="13"/>
      <c r="CG197" s="13"/>
      <c r="CH197" s="13"/>
      <c r="CI197" s="13"/>
    </row>
    <row r="198" spans="1:87" x14ac:dyDescent="0.3">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row>
    <row r="199" spans="1:87" x14ac:dyDescent="0.3">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c r="BG199" s="13"/>
      <c r="BH199" s="13"/>
      <c r="BI199" s="13"/>
      <c r="BJ199" s="13"/>
      <c r="BK199" s="13"/>
      <c r="BL199" s="13"/>
      <c r="BM199" s="13"/>
      <c r="BN199" s="13"/>
      <c r="BO199" s="13"/>
      <c r="BP199" s="13"/>
      <c r="BQ199" s="13"/>
      <c r="BR199" s="13"/>
      <c r="BS199" s="13"/>
      <c r="BT199" s="13"/>
      <c r="BU199" s="13"/>
      <c r="BV199" s="13"/>
      <c r="BW199" s="13"/>
      <c r="BX199" s="13"/>
      <c r="BY199" s="13"/>
      <c r="BZ199" s="13"/>
      <c r="CA199" s="13"/>
      <c r="CB199" s="13"/>
      <c r="CC199" s="13"/>
      <c r="CD199" s="13"/>
      <c r="CE199" s="13"/>
      <c r="CF199" s="13"/>
      <c r="CG199" s="13"/>
      <c r="CH199" s="13"/>
      <c r="CI199" s="13"/>
    </row>
    <row r="200" spans="1:87" x14ac:dyDescent="0.3">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row>
    <row r="201" spans="1:87" x14ac:dyDescent="0.3">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row>
    <row r="202" spans="1:87" x14ac:dyDescent="0.3">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row>
    <row r="203" spans="1:87" x14ac:dyDescent="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row>
    <row r="204" spans="1:87" x14ac:dyDescent="0.3">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row>
    <row r="205" spans="1:87" x14ac:dyDescent="0.3">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row>
    <row r="206" spans="1:87" x14ac:dyDescent="0.3">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row>
    <row r="207" spans="1:87" x14ac:dyDescent="0.3">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c r="CC207" s="13"/>
      <c r="CD207" s="13"/>
      <c r="CE207" s="13"/>
      <c r="CF207" s="13"/>
      <c r="CG207" s="13"/>
      <c r="CH207" s="13"/>
      <c r="CI207" s="13"/>
    </row>
    <row r="208" spans="1:87" x14ac:dyDescent="0.3">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c r="CI208" s="13"/>
    </row>
    <row r="209" spans="1:87" x14ac:dyDescent="0.3">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c r="CC209" s="13"/>
      <c r="CD209" s="13"/>
      <c r="CE209" s="13"/>
      <c r="CF209" s="13"/>
      <c r="CG209" s="13"/>
      <c r="CH209" s="13"/>
      <c r="CI209" s="13"/>
    </row>
    <row r="210" spans="1:87" x14ac:dyDescent="0.3">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c r="CE210" s="13"/>
      <c r="CF210" s="13"/>
      <c r="CG210" s="13"/>
      <c r="CH210" s="13"/>
      <c r="CI210" s="13"/>
    </row>
    <row r="211" spans="1:87" x14ac:dyDescent="0.3">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c r="BL211" s="13"/>
      <c r="BM211" s="13"/>
      <c r="BN211" s="13"/>
      <c r="BO211" s="13"/>
      <c r="BP211" s="13"/>
      <c r="BQ211" s="13"/>
      <c r="BR211" s="13"/>
      <c r="BS211" s="13"/>
      <c r="BT211" s="13"/>
      <c r="BU211" s="13"/>
      <c r="BV211" s="13"/>
      <c r="BW211" s="13"/>
      <c r="BX211" s="13"/>
      <c r="BY211" s="13"/>
      <c r="BZ211" s="13"/>
      <c r="CA211" s="13"/>
      <c r="CB211" s="13"/>
      <c r="CC211" s="13"/>
      <c r="CD211" s="13"/>
      <c r="CE211" s="13"/>
      <c r="CF211" s="13"/>
      <c r="CG211" s="13"/>
      <c r="CH211" s="13"/>
      <c r="CI211" s="13"/>
    </row>
    <row r="212" spans="1:87" x14ac:dyDescent="0.3">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c r="CC212" s="13"/>
      <c r="CD212" s="13"/>
      <c r="CE212" s="13"/>
      <c r="CF212" s="13"/>
      <c r="CG212" s="13"/>
      <c r="CH212" s="13"/>
      <c r="CI212" s="13"/>
    </row>
    <row r="213" spans="1:87" x14ac:dyDescent="0.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row>
    <row r="214" spans="1:87" x14ac:dyDescent="0.3">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c r="CE214" s="13"/>
      <c r="CF214" s="13"/>
      <c r="CG214" s="13"/>
      <c r="CH214" s="13"/>
      <c r="CI214" s="13"/>
    </row>
    <row r="215" spans="1:87" x14ac:dyDescent="0.3">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c r="CB215" s="13"/>
      <c r="CC215" s="13"/>
      <c r="CD215" s="13"/>
      <c r="CE215" s="13"/>
      <c r="CF215" s="13"/>
      <c r="CG215" s="13"/>
      <c r="CH215" s="13"/>
      <c r="CI215" s="13"/>
    </row>
    <row r="216" spans="1:87" x14ac:dyDescent="0.3">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c r="CI216" s="13"/>
    </row>
    <row r="217" spans="1:87" x14ac:dyDescent="0.3">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c r="CI217" s="13"/>
    </row>
    <row r="218" spans="1:87" x14ac:dyDescent="0.3">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c r="CE218" s="13"/>
      <c r="CF218" s="13"/>
      <c r="CG218" s="13"/>
      <c r="CH218" s="13"/>
      <c r="CI218" s="13"/>
    </row>
    <row r="219" spans="1:87" x14ac:dyDescent="0.3">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c r="CC219" s="13"/>
      <c r="CD219" s="13"/>
      <c r="CE219" s="13"/>
      <c r="CF219" s="13"/>
      <c r="CG219" s="13"/>
      <c r="CH219" s="13"/>
      <c r="CI219" s="13"/>
    </row>
    <row r="220" spans="1:87" x14ac:dyDescent="0.3">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row>
    <row r="221" spans="1:87" x14ac:dyDescent="0.3">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c r="BU221" s="13"/>
      <c r="BV221" s="13"/>
      <c r="BW221" s="13"/>
      <c r="BX221" s="13"/>
      <c r="BY221" s="13"/>
      <c r="BZ221" s="13"/>
      <c r="CA221" s="13"/>
      <c r="CB221" s="13"/>
      <c r="CC221" s="13"/>
      <c r="CD221" s="13"/>
      <c r="CE221" s="13"/>
      <c r="CF221" s="13"/>
      <c r="CG221" s="13"/>
      <c r="CH221" s="13"/>
      <c r="CI221" s="13"/>
    </row>
    <row r="222" spans="1:87" x14ac:dyDescent="0.3">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c r="CI222" s="13"/>
    </row>
    <row r="223" spans="1:87" x14ac:dyDescent="0.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c r="CI223" s="13"/>
    </row>
    <row r="224" spans="1:87" x14ac:dyDescent="0.3">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row>
    <row r="225" spans="1:87" x14ac:dyDescent="0.3">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c r="CI225" s="13"/>
    </row>
    <row r="226" spans="1:87" x14ac:dyDescent="0.3">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c r="CI226" s="13"/>
    </row>
    <row r="227" spans="1:87" x14ac:dyDescent="0.3">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c r="CD227" s="13"/>
      <c r="CE227" s="13"/>
      <c r="CF227" s="13"/>
      <c r="CG227" s="13"/>
      <c r="CH227" s="13"/>
      <c r="CI227" s="13"/>
    </row>
    <row r="228" spans="1:87" x14ac:dyDescent="0.3">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c r="CI228" s="13"/>
    </row>
    <row r="229" spans="1:87" x14ac:dyDescent="0.3">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c r="CI229" s="13"/>
    </row>
    <row r="230" spans="1:87" x14ac:dyDescent="0.3">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row>
    <row r="231" spans="1:87" x14ac:dyDescent="0.3">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row>
    <row r="232" spans="1:87" x14ac:dyDescent="0.3">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row>
    <row r="233" spans="1:87" x14ac:dyDescent="0.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row>
    <row r="234" spans="1:87" x14ac:dyDescent="0.3">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c r="CC234" s="13"/>
      <c r="CD234" s="13"/>
      <c r="CE234" s="13"/>
      <c r="CF234" s="13"/>
      <c r="CG234" s="13"/>
      <c r="CH234" s="13"/>
      <c r="CI234" s="13"/>
    </row>
    <row r="235" spans="1:87" x14ac:dyDescent="0.3">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row>
    <row r="236" spans="1:87" x14ac:dyDescent="0.3">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row>
    <row r="237" spans="1:87" x14ac:dyDescent="0.3">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row>
    <row r="238" spans="1:87" x14ac:dyDescent="0.3">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c r="CI238" s="13"/>
    </row>
    <row r="239" spans="1:87" x14ac:dyDescent="0.3">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row>
    <row r="240" spans="1:87" x14ac:dyDescent="0.3">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c r="BU240" s="13"/>
      <c r="BV240" s="13"/>
      <c r="BW240" s="13"/>
      <c r="BX240" s="13"/>
      <c r="BY240" s="13"/>
      <c r="BZ240" s="13"/>
      <c r="CA240" s="13"/>
      <c r="CB240" s="13"/>
      <c r="CC240" s="13"/>
      <c r="CD240" s="13"/>
      <c r="CE240" s="13"/>
      <c r="CF240" s="13"/>
      <c r="CG240" s="13"/>
      <c r="CH240" s="13"/>
      <c r="CI240" s="13"/>
    </row>
    <row r="241" spans="1:87" x14ac:dyDescent="0.3">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c r="BU241" s="13"/>
      <c r="BV241" s="13"/>
      <c r="BW241" s="13"/>
      <c r="BX241" s="13"/>
      <c r="BY241" s="13"/>
      <c r="BZ241" s="13"/>
      <c r="CA241" s="13"/>
      <c r="CB241" s="13"/>
      <c r="CC241" s="13"/>
      <c r="CD241" s="13"/>
      <c r="CE241" s="13"/>
      <c r="CF241" s="13"/>
      <c r="CG241" s="13"/>
      <c r="CH241" s="13"/>
      <c r="CI241" s="13"/>
    </row>
    <row r="242" spans="1:87" x14ac:dyDescent="0.3">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c r="BU242" s="13"/>
      <c r="BV242" s="13"/>
      <c r="BW242" s="13"/>
      <c r="BX242" s="13"/>
      <c r="BY242" s="13"/>
      <c r="BZ242" s="13"/>
      <c r="CA242" s="13"/>
      <c r="CB242" s="13"/>
      <c r="CC242" s="13"/>
      <c r="CD242" s="13"/>
      <c r="CE242" s="13"/>
      <c r="CF242" s="13"/>
      <c r="CG242" s="13"/>
      <c r="CH242" s="13"/>
      <c r="CI242" s="13"/>
    </row>
    <row r="243" spans="1:87" x14ac:dyDescent="0.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c r="CC243" s="13"/>
      <c r="CD243" s="13"/>
      <c r="CE243" s="13"/>
      <c r="CF243" s="13"/>
      <c r="CG243" s="13"/>
      <c r="CH243" s="13"/>
      <c r="CI243" s="13"/>
    </row>
    <row r="244" spans="1:87" x14ac:dyDescent="0.3">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c r="BU244" s="13"/>
      <c r="BV244" s="13"/>
      <c r="BW244" s="13"/>
      <c r="BX244" s="13"/>
      <c r="BY244" s="13"/>
      <c r="BZ244" s="13"/>
      <c r="CA244" s="13"/>
      <c r="CB244" s="13"/>
      <c r="CC244" s="13"/>
      <c r="CD244" s="13"/>
      <c r="CE244" s="13"/>
      <c r="CF244" s="13"/>
      <c r="CG244" s="13"/>
      <c r="CH244" s="13"/>
      <c r="CI244" s="13"/>
    </row>
    <row r="245" spans="1:87" x14ac:dyDescent="0.3">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c r="BU245" s="13"/>
      <c r="BV245" s="13"/>
      <c r="BW245" s="13"/>
      <c r="BX245" s="13"/>
      <c r="BY245" s="13"/>
      <c r="BZ245" s="13"/>
      <c r="CA245" s="13"/>
      <c r="CB245" s="13"/>
      <c r="CC245" s="13"/>
      <c r="CD245" s="13"/>
      <c r="CE245" s="13"/>
      <c r="CF245" s="13"/>
      <c r="CG245" s="13"/>
      <c r="CH245" s="13"/>
      <c r="CI245" s="13"/>
    </row>
    <row r="246" spans="1:87" x14ac:dyDescent="0.3">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c r="BU246" s="13"/>
      <c r="BV246" s="13"/>
      <c r="BW246" s="13"/>
      <c r="BX246" s="13"/>
      <c r="BY246" s="13"/>
      <c r="BZ246" s="13"/>
      <c r="CA246" s="13"/>
      <c r="CB246" s="13"/>
      <c r="CC246" s="13"/>
      <c r="CD246" s="13"/>
      <c r="CE246" s="13"/>
      <c r="CF246" s="13"/>
      <c r="CG246" s="13"/>
      <c r="CH246" s="13"/>
      <c r="CI246" s="13"/>
    </row>
    <row r="247" spans="1:87" x14ac:dyDescent="0.3">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c r="CC247" s="13"/>
      <c r="CD247" s="13"/>
      <c r="CE247" s="13"/>
      <c r="CF247" s="13"/>
      <c r="CG247" s="13"/>
      <c r="CH247" s="13"/>
      <c r="CI247" s="13"/>
    </row>
    <row r="248" spans="1:87" x14ac:dyDescent="0.3">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c r="CC248" s="13"/>
      <c r="CD248" s="13"/>
      <c r="CE248" s="13"/>
      <c r="CF248" s="13"/>
      <c r="CG248" s="13"/>
      <c r="CH248" s="13"/>
      <c r="CI248" s="13"/>
    </row>
    <row r="249" spans="1:87" x14ac:dyDescent="0.3">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c r="CC249" s="13"/>
      <c r="CD249" s="13"/>
      <c r="CE249" s="13"/>
      <c r="CF249" s="13"/>
      <c r="CG249" s="13"/>
      <c r="CH249" s="13"/>
      <c r="CI249" s="13"/>
    </row>
    <row r="250" spans="1:87" x14ac:dyDescent="0.3">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c r="BU250" s="13"/>
      <c r="BV250" s="13"/>
      <c r="BW250" s="13"/>
      <c r="BX250" s="13"/>
      <c r="BY250" s="13"/>
      <c r="BZ250" s="13"/>
      <c r="CA250" s="13"/>
      <c r="CB250" s="13"/>
      <c r="CC250" s="13"/>
      <c r="CD250" s="13"/>
      <c r="CE250" s="13"/>
      <c r="CF250" s="13"/>
      <c r="CG250" s="13"/>
      <c r="CH250" s="13"/>
      <c r="CI250" s="13"/>
    </row>
    <row r="251" spans="1:87" x14ac:dyDescent="0.3">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3"/>
      <c r="BR251" s="13"/>
      <c r="BS251" s="13"/>
      <c r="BT251" s="13"/>
      <c r="BU251" s="13"/>
      <c r="BV251" s="13"/>
      <c r="BW251" s="13"/>
      <c r="BX251" s="13"/>
      <c r="BY251" s="13"/>
      <c r="BZ251" s="13"/>
      <c r="CA251" s="13"/>
      <c r="CB251" s="13"/>
      <c r="CC251" s="13"/>
      <c r="CD251" s="13"/>
      <c r="CE251" s="13"/>
      <c r="CF251" s="13"/>
      <c r="CG251" s="13"/>
      <c r="CH251" s="13"/>
      <c r="CI251" s="13"/>
    </row>
    <row r="252" spans="1:87" x14ac:dyDescent="0.3">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c r="CC252" s="13"/>
      <c r="CD252" s="13"/>
      <c r="CE252" s="13"/>
      <c r="CF252" s="13"/>
      <c r="CG252" s="13"/>
      <c r="CH252" s="13"/>
      <c r="CI252" s="13"/>
    </row>
    <row r="253" spans="1:87" x14ac:dyDescent="0.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c r="CE253" s="13"/>
      <c r="CF253" s="13"/>
      <c r="CG253" s="13"/>
      <c r="CH253" s="13"/>
      <c r="CI253" s="13"/>
    </row>
    <row r="254" spans="1:87" x14ac:dyDescent="0.3">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c r="BU254" s="13"/>
      <c r="BV254" s="13"/>
      <c r="BW254" s="13"/>
      <c r="BX254" s="13"/>
      <c r="BY254" s="13"/>
      <c r="BZ254" s="13"/>
      <c r="CA254" s="13"/>
      <c r="CB254" s="13"/>
      <c r="CC254" s="13"/>
      <c r="CD254" s="13"/>
      <c r="CE254" s="13"/>
      <c r="CF254" s="13"/>
      <c r="CG254" s="13"/>
      <c r="CH254" s="13"/>
      <c r="CI254" s="13"/>
    </row>
    <row r="255" spans="1:87" x14ac:dyDescent="0.3">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c r="BU255" s="13"/>
      <c r="BV255" s="13"/>
      <c r="BW255" s="13"/>
      <c r="BX255" s="13"/>
      <c r="BY255" s="13"/>
      <c r="BZ255" s="13"/>
      <c r="CA255" s="13"/>
      <c r="CB255" s="13"/>
      <c r="CC255" s="13"/>
      <c r="CD255" s="13"/>
      <c r="CE255" s="13"/>
      <c r="CF255" s="13"/>
      <c r="CG255" s="13"/>
      <c r="CH255" s="13"/>
      <c r="CI255" s="13"/>
    </row>
    <row r="256" spans="1:87" x14ac:dyDescent="0.3">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13"/>
    </row>
    <row r="257" spans="1:87" x14ac:dyDescent="0.3">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c r="CC257" s="13"/>
      <c r="CD257" s="13"/>
      <c r="CE257" s="13"/>
      <c r="CF257" s="13"/>
      <c r="CG257" s="13"/>
      <c r="CH257" s="13"/>
      <c r="CI257" s="13"/>
    </row>
    <row r="258" spans="1:87" x14ac:dyDescent="0.3">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row>
    <row r="259" spans="1:87" x14ac:dyDescent="0.3">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c r="CC259" s="13"/>
      <c r="CD259" s="13"/>
      <c r="CE259" s="13"/>
      <c r="CF259" s="13"/>
      <c r="CG259" s="13"/>
      <c r="CH259" s="13"/>
      <c r="CI259" s="13"/>
    </row>
    <row r="260" spans="1:87" x14ac:dyDescent="0.3">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row>
    <row r="261" spans="1:87" x14ac:dyDescent="0.3">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c r="BU261" s="13"/>
      <c r="BV261" s="13"/>
      <c r="BW261" s="13"/>
      <c r="BX261" s="13"/>
      <c r="BY261" s="13"/>
      <c r="BZ261" s="13"/>
      <c r="CA261" s="13"/>
      <c r="CB261" s="13"/>
      <c r="CC261" s="13"/>
      <c r="CD261" s="13"/>
      <c r="CE261" s="13"/>
      <c r="CF261" s="13"/>
      <c r="CG261" s="13"/>
      <c r="CH261" s="13"/>
      <c r="CI261" s="13"/>
    </row>
    <row r="262" spans="1:87" x14ac:dyDescent="0.3">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13"/>
      <c r="BR262" s="13"/>
      <c r="BS262" s="13"/>
      <c r="BT262" s="13"/>
      <c r="BU262" s="13"/>
      <c r="BV262" s="13"/>
      <c r="BW262" s="13"/>
      <c r="BX262" s="13"/>
      <c r="BY262" s="13"/>
      <c r="BZ262" s="13"/>
      <c r="CA262" s="13"/>
      <c r="CB262" s="13"/>
      <c r="CC262" s="13"/>
      <c r="CD262" s="13"/>
      <c r="CE262" s="13"/>
      <c r="CF262" s="13"/>
      <c r="CG262" s="13"/>
      <c r="CH262" s="13"/>
      <c r="CI262" s="13"/>
    </row>
    <row r="263" spans="1:87" x14ac:dyDescent="0.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3"/>
      <c r="BZ263" s="13"/>
      <c r="CA263" s="13"/>
      <c r="CB263" s="13"/>
      <c r="CC263" s="13"/>
      <c r="CD263" s="13"/>
      <c r="CE263" s="13"/>
      <c r="CF263" s="13"/>
      <c r="CG263" s="13"/>
      <c r="CH263" s="13"/>
      <c r="CI263" s="13"/>
    </row>
    <row r="264" spans="1:87" x14ac:dyDescent="0.3">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row>
    <row r="265" spans="1:87" x14ac:dyDescent="0.3">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3"/>
      <c r="BR265" s="13"/>
      <c r="BS265" s="13"/>
      <c r="BT265" s="13"/>
      <c r="BU265" s="13"/>
      <c r="BV265" s="13"/>
      <c r="BW265" s="13"/>
      <c r="BX265" s="13"/>
      <c r="BY265" s="13"/>
      <c r="BZ265" s="13"/>
      <c r="CA265" s="13"/>
      <c r="CB265" s="13"/>
      <c r="CC265" s="13"/>
      <c r="CD265" s="13"/>
      <c r="CE265" s="13"/>
      <c r="CF265" s="13"/>
      <c r="CG265" s="13"/>
      <c r="CH265" s="13"/>
      <c r="CI265" s="13"/>
    </row>
    <row r="266" spans="1:87" x14ac:dyDescent="0.3">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13"/>
      <c r="BR266" s="13"/>
      <c r="BS266" s="13"/>
      <c r="BT266" s="13"/>
      <c r="BU266" s="13"/>
      <c r="BV266" s="13"/>
      <c r="BW266" s="13"/>
      <c r="BX266" s="13"/>
      <c r="BY266" s="13"/>
      <c r="BZ266" s="13"/>
      <c r="CA266" s="13"/>
      <c r="CB266" s="13"/>
      <c r="CC266" s="13"/>
      <c r="CD266" s="13"/>
      <c r="CE266" s="13"/>
      <c r="CF266" s="13"/>
      <c r="CG266" s="13"/>
      <c r="CH266" s="13"/>
      <c r="CI266" s="13"/>
    </row>
    <row r="267" spans="1:87" x14ac:dyDescent="0.3">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13"/>
      <c r="BR267" s="13"/>
      <c r="BS267" s="13"/>
      <c r="BT267" s="13"/>
      <c r="BU267" s="13"/>
      <c r="BV267" s="13"/>
      <c r="BW267" s="13"/>
      <c r="BX267" s="13"/>
      <c r="BY267" s="13"/>
      <c r="BZ267" s="13"/>
      <c r="CA267" s="13"/>
      <c r="CB267" s="13"/>
      <c r="CC267" s="13"/>
      <c r="CD267" s="13"/>
      <c r="CE267" s="13"/>
      <c r="CF267" s="13"/>
      <c r="CG267" s="13"/>
      <c r="CH267" s="13"/>
      <c r="CI267" s="13"/>
    </row>
    <row r="268" spans="1:87" x14ac:dyDescent="0.3">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c r="BU268" s="13"/>
      <c r="BV268" s="13"/>
      <c r="BW268" s="13"/>
      <c r="BX268" s="13"/>
      <c r="BY268" s="13"/>
      <c r="BZ268" s="13"/>
      <c r="CA268" s="13"/>
      <c r="CB268" s="13"/>
      <c r="CC268" s="13"/>
      <c r="CD268" s="13"/>
      <c r="CE268" s="13"/>
      <c r="CF268" s="13"/>
      <c r="CG268" s="13"/>
      <c r="CH268" s="13"/>
      <c r="CI268" s="13"/>
    </row>
    <row r="269" spans="1:87" x14ac:dyDescent="0.3">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c r="BU269" s="13"/>
      <c r="BV269" s="13"/>
      <c r="BW269" s="13"/>
      <c r="BX269" s="13"/>
      <c r="BY269" s="13"/>
      <c r="BZ269" s="13"/>
      <c r="CA269" s="13"/>
      <c r="CB269" s="13"/>
      <c r="CC269" s="13"/>
      <c r="CD269" s="13"/>
      <c r="CE269" s="13"/>
      <c r="CF269" s="13"/>
      <c r="CG269" s="13"/>
      <c r="CH269" s="13"/>
      <c r="CI269" s="13"/>
    </row>
    <row r="270" spans="1:87" x14ac:dyDescent="0.3">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c r="BU270" s="13"/>
      <c r="BV270" s="13"/>
      <c r="BW270" s="13"/>
      <c r="BX270" s="13"/>
      <c r="BY270" s="13"/>
      <c r="BZ270" s="13"/>
      <c r="CA270" s="13"/>
      <c r="CB270" s="13"/>
      <c r="CC270" s="13"/>
      <c r="CD270" s="13"/>
      <c r="CE270" s="13"/>
      <c r="CF270" s="13"/>
      <c r="CG270" s="13"/>
      <c r="CH270" s="13"/>
      <c r="CI270" s="13"/>
    </row>
    <row r="271" spans="1:87" x14ac:dyDescent="0.3">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c r="BU271" s="13"/>
      <c r="BV271" s="13"/>
      <c r="BW271" s="13"/>
      <c r="BX271" s="13"/>
      <c r="BY271" s="13"/>
      <c r="BZ271" s="13"/>
      <c r="CA271" s="13"/>
      <c r="CB271" s="13"/>
      <c r="CC271" s="13"/>
      <c r="CD271" s="13"/>
      <c r="CE271" s="13"/>
      <c r="CF271" s="13"/>
      <c r="CG271" s="13"/>
      <c r="CH271" s="13"/>
      <c r="CI271" s="13"/>
    </row>
    <row r="272" spans="1:87" x14ac:dyDescent="0.3">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c r="BU272" s="13"/>
      <c r="BV272" s="13"/>
      <c r="BW272" s="13"/>
      <c r="BX272" s="13"/>
      <c r="BY272" s="13"/>
      <c r="BZ272" s="13"/>
      <c r="CA272" s="13"/>
      <c r="CB272" s="13"/>
      <c r="CC272" s="13"/>
      <c r="CD272" s="13"/>
      <c r="CE272" s="13"/>
      <c r="CF272" s="13"/>
      <c r="CG272" s="13"/>
      <c r="CH272" s="13"/>
      <c r="CI272" s="13"/>
    </row>
    <row r="273" spans="1:87" x14ac:dyDescent="0.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c r="BU273" s="13"/>
      <c r="BV273" s="13"/>
      <c r="BW273" s="13"/>
      <c r="BX273" s="13"/>
      <c r="BY273" s="13"/>
      <c r="BZ273" s="13"/>
      <c r="CA273" s="13"/>
      <c r="CB273" s="13"/>
      <c r="CC273" s="13"/>
      <c r="CD273" s="13"/>
      <c r="CE273" s="13"/>
      <c r="CF273" s="13"/>
      <c r="CG273" s="13"/>
      <c r="CH273" s="13"/>
      <c r="CI273" s="13"/>
    </row>
    <row r="274" spans="1:87" x14ac:dyDescent="0.3">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c r="BU274" s="13"/>
      <c r="BV274" s="13"/>
      <c r="BW274" s="13"/>
      <c r="BX274" s="13"/>
      <c r="BY274" s="13"/>
      <c r="BZ274" s="13"/>
      <c r="CA274" s="13"/>
      <c r="CB274" s="13"/>
      <c r="CC274" s="13"/>
      <c r="CD274" s="13"/>
      <c r="CE274" s="13"/>
      <c r="CF274" s="13"/>
      <c r="CG274" s="13"/>
      <c r="CH274" s="13"/>
      <c r="CI274" s="13"/>
    </row>
    <row r="275" spans="1:87" x14ac:dyDescent="0.3">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c r="BU275" s="13"/>
      <c r="BV275" s="13"/>
      <c r="BW275" s="13"/>
      <c r="BX275" s="13"/>
      <c r="BY275" s="13"/>
      <c r="BZ275" s="13"/>
      <c r="CA275" s="13"/>
      <c r="CB275" s="13"/>
      <c r="CC275" s="13"/>
      <c r="CD275" s="13"/>
      <c r="CE275" s="13"/>
      <c r="CF275" s="13"/>
      <c r="CG275" s="13"/>
      <c r="CH275" s="13"/>
      <c r="CI275" s="13"/>
    </row>
    <row r="276" spans="1:87" x14ac:dyDescent="0.3">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c r="BU276" s="13"/>
      <c r="BV276" s="13"/>
      <c r="BW276" s="13"/>
      <c r="BX276" s="13"/>
      <c r="BY276" s="13"/>
      <c r="BZ276" s="13"/>
      <c r="CA276" s="13"/>
      <c r="CB276" s="13"/>
      <c r="CC276" s="13"/>
      <c r="CD276" s="13"/>
      <c r="CE276" s="13"/>
      <c r="CF276" s="13"/>
      <c r="CG276" s="13"/>
      <c r="CH276" s="13"/>
      <c r="CI276" s="13"/>
    </row>
    <row r="277" spans="1:87" x14ac:dyDescent="0.3">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c r="BU277" s="13"/>
      <c r="BV277" s="13"/>
      <c r="BW277" s="13"/>
      <c r="BX277" s="13"/>
      <c r="BY277" s="13"/>
      <c r="BZ277" s="13"/>
      <c r="CA277" s="13"/>
      <c r="CB277" s="13"/>
      <c r="CC277" s="13"/>
      <c r="CD277" s="13"/>
      <c r="CE277" s="13"/>
      <c r="CF277" s="13"/>
      <c r="CG277" s="13"/>
      <c r="CH277" s="13"/>
      <c r="CI277" s="13"/>
    </row>
    <row r="278" spans="1:87" x14ac:dyDescent="0.3">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row>
    <row r="279" spans="1:87" x14ac:dyDescent="0.3">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c r="BU279" s="13"/>
      <c r="BV279" s="13"/>
      <c r="BW279" s="13"/>
      <c r="BX279" s="13"/>
      <c r="BY279" s="13"/>
      <c r="BZ279" s="13"/>
      <c r="CA279" s="13"/>
      <c r="CB279" s="13"/>
      <c r="CC279" s="13"/>
      <c r="CD279" s="13"/>
      <c r="CE279" s="13"/>
      <c r="CF279" s="13"/>
      <c r="CG279" s="13"/>
      <c r="CH279" s="13"/>
      <c r="CI279" s="13"/>
    </row>
    <row r="280" spans="1:87" x14ac:dyDescent="0.3">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row>
    <row r="281" spans="1:87" x14ac:dyDescent="0.3">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c r="BU281" s="13"/>
      <c r="BV281" s="13"/>
      <c r="BW281" s="13"/>
      <c r="BX281" s="13"/>
      <c r="BY281" s="13"/>
      <c r="BZ281" s="13"/>
      <c r="CA281" s="13"/>
      <c r="CB281" s="13"/>
      <c r="CC281" s="13"/>
      <c r="CD281" s="13"/>
      <c r="CE281" s="13"/>
      <c r="CF281" s="13"/>
      <c r="CG281" s="13"/>
      <c r="CH281" s="13"/>
      <c r="CI281" s="13"/>
    </row>
    <row r="282" spans="1:87" x14ac:dyDescent="0.3">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c r="BU282" s="13"/>
      <c r="BV282" s="13"/>
      <c r="BW282" s="13"/>
      <c r="BX282" s="13"/>
      <c r="BY282" s="13"/>
      <c r="BZ282" s="13"/>
      <c r="CA282" s="13"/>
      <c r="CB282" s="13"/>
      <c r="CC282" s="13"/>
      <c r="CD282" s="13"/>
      <c r="CE282" s="13"/>
      <c r="CF282" s="13"/>
      <c r="CG282" s="13"/>
      <c r="CH282" s="13"/>
      <c r="CI282" s="13"/>
    </row>
    <row r="283" spans="1:87" x14ac:dyDescent="0.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3"/>
      <c r="BO283" s="13"/>
      <c r="BP283" s="13"/>
      <c r="BQ283" s="13"/>
      <c r="BR283" s="13"/>
      <c r="BS283" s="13"/>
      <c r="BT283" s="13"/>
      <c r="BU283" s="13"/>
      <c r="BV283" s="13"/>
      <c r="BW283" s="13"/>
      <c r="BX283" s="13"/>
      <c r="BY283" s="13"/>
      <c r="BZ283" s="13"/>
      <c r="CA283" s="13"/>
      <c r="CB283" s="13"/>
      <c r="CC283" s="13"/>
      <c r="CD283" s="13"/>
      <c r="CE283" s="13"/>
      <c r="CF283" s="13"/>
      <c r="CG283" s="13"/>
      <c r="CH283" s="13"/>
      <c r="CI283" s="13"/>
    </row>
    <row r="284" spans="1:87" x14ac:dyDescent="0.3">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c r="BU284" s="13"/>
      <c r="BV284" s="13"/>
      <c r="BW284" s="13"/>
      <c r="BX284" s="13"/>
      <c r="BY284" s="13"/>
      <c r="BZ284" s="13"/>
      <c r="CA284" s="13"/>
      <c r="CB284" s="13"/>
      <c r="CC284" s="13"/>
      <c r="CD284" s="13"/>
      <c r="CE284" s="13"/>
      <c r="CF284" s="13"/>
      <c r="CG284" s="13"/>
      <c r="CH284" s="13"/>
      <c r="CI284" s="13"/>
    </row>
    <row r="285" spans="1:87" x14ac:dyDescent="0.3">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c r="BU285" s="13"/>
      <c r="BV285" s="13"/>
      <c r="BW285" s="13"/>
      <c r="BX285" s="13"/>
      <c r="BY285" s="13"/>
      <c r="BZ285" s="13"/>
      <c r="CA285" s="13"/>
      <c r="CB285" s="13"/>
      <c r="CC285" s="13"/>
      <c r="CD285" s="13"/>
      <c r="CE285" s="13"/>
      <c r="CF285" s="13"/>
      <c r="CG285" s="13"/>
      <c r="CH285" s="13"/>
      <c r="CI285" s="13"/>
    </row>
    <row r="286" spans="1:87" x14ac:dyDescent="0.3">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c r="BU286" s="13"/>
      <c r="BV286" s="13"/>
      <c r="BW286" s="13"/>
      <c r="BX286" s="13"/>
      <c r="BY286" s="13"/>
      <c r="BZ286" s="13"/>
      <c r="CA286" s="13"/>
      <c r="CB286" s="13"/>
      <c r="CC286" s="13"/>
      <c r="CD286" s="13"/>
      <c r="CE286" s="13"/>
      <c r="CF286" s="13"/>
      <c r="CG286" s="13"/>
      <c r="CH286" s="13"/>
      <c r="CI286" s="13"/>
    </row>
    <row r="287" spans="1:87" x14ac:dyDescent="0.3">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c r="CC287" s="13"/>
      <c r="CD287" s="13"/>
      <c r="CE287" s="13"/>
      <c r="CF287" s="13"/>
      <c r="CG287" s="13"/>
      <c r="CH287" s="13"/>
      <c r="CI287" s="13"/>
    </row>
    <row r="288" spans="1:87" x14ac:dyDescent="0.3">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c r="CC288" s="13"/>
      <c r="CD288" s="13"/>
      <c r="CE288" s="13"/>
      <c r="CF288" s="13"/>
      <c r="CG288" s="13"/>
      <c r="CH288" s="13"/>
      <c r="CI288" s="13"/>
    </row>
    <row r="289" spans="1:87" x14ac:dyDescent="0.3">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c r="CB289" s="13"/>
      <c r="CC289" s="13"/>
      <c r="CD289" s="13"/>
      <c r="CE289" s="13"/>
      <c r="CF289" s="13"/>
      <c r="CG289" s="13"/>
      <c r="CH289" s="13"/>
      <c r="CI289" s="13"/>
    </row>
    <row r="290" spans="1:87" x14ac:dyDescent="0.3">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c r="BU290" s="13"/>
      <c r="BV290" s="13"/>
      <c r="BW290" s="13"/>
      <c r="BX290" s="13"/>
      <c r="BY290" s="13"/>
      <c r="BZ290" s="13"/>
      <c r="CA290" s="13"/>
      <c r="CB290" s="13"/>
      <c r="CC290" s="13"/>
      <c r="CD290" s="13"/>
      <c r="CE290" s="13"/>
      <c r="CF290" s="13"/>
      <c r="CG290" s="13"/>
      <c r="CH290" s="13"/>
      <c r="CI290" s="13"/>
    </row>
    <row r="291" spans="1:87" x14ac:dyDescent="0.3">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c r="CB291" s="13"/>
      <c r="CC291" s="13"/>
      <c r="CD291" s="13"/>
      <c r="CE291" s="13"/>
      <c r="CF291" s="13"/>
      <c r="CG291" s="13"/>
      <c r="CH291" s="13"/>
      <c r="CI291" s="13"/>
    </row>
    <row r="292" spans="1:87" x14ac:dyDescent="0.3">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row>
    <row r="293" spans="1:87" x14ac:dyDescent="0.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c r="BU293" s="13"/>
      <c r="BV293" s="13"/>
      <c r="BW293" s="13"/>
      <c r="BX293" s="13"/>
      <c r="BY293" s="13"/>
      <c r="BZ293" s="13"/>
      <c r="CA293" s="13"/>
      <c r="CB293" s="13"/>
      <c r="CC293" s="13"/>
      <c r="CD293" s="13"/>
      <c r="CE293" s="13"/>
      <c r="CF293" s="13"/>
      <c r="CG293" s="13"/>
      <c r="CH293" s="13"/>
      <c r="CI293" s="13"/>
    </row>
    <row r="294" spans="1:87" x14ac:dyDescent="0.3">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row>
    <row r="295" spans="1:87" x14ac:dyDescent="0.3">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c r="BU295" s="13"/>
      <c r="BV295" s="13"/>
      <c r="BW295" s="13"/>
      <c r="BX295" s="13"/>
      <c r="BY295" s="13"/>
      <c r="BZ295" s="13"/>
      <c r="CA295" s="13"/>
      <c r="CB295" s="13"/>
      <c r="CC295" s="13"/>
      <c r="CD295" s="13"/>
      <c r="CE295" s="13"/>
      <c r="CF295" s="13"/>
      <c r="CG295" s="13"/>
      <c r="CH295" s="13"/>
      <c r="CI295" s="13"/>
    </row>
    <row r="296" spans="1:87" x14ac:dyDescent="0.3">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c r="BU296" s="13"/>
      <c r="BV296" s="13"/>
      <c r="BW296" s="13"/>
      <c r="BX296" s="13"/>
      <c r="BY296" s="13"/>
      <c r="BZ296" s="13"/>
      <c r="CA296" s="13"/>
      <c r="CB296" s="13"/>
      <c r="CC296" s="13"/>
      <c r="CD296" s="13"/>
      <c r="CE296" s="13"/>
      <c r="CF296" s="13"/>
      <c r="CG296" s="13"/>
      <c r="CH296" s="13"/>
      <c r="CI296" s="13"/>
    </row>
    <row r="297" spans="1:87" x14ac:dyDescent="0.3">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c r="BU297" s="13"/>
      <c r="BV297" s="13"/>
      <c r="BW297" s="13"/>
      <c r="BX297" s="13"/>
      <c r="BY297" s="13"/>
      <c r="BZ297" s="13"/>
      <c r="CA297" s="13"/>
      <c r="CB297" s="13"/>
      <c r="CC297" s="13"/>
      <c r="CD297" s="13"/>
      <c r="CE297" s="13"/>
      <c r="CF297" s="13"/>
      <c r="CG297" s="13"/>
      <c r="CH297" s="13"/>
      <c r="CI297" s="13"/>
    </row>
    <row r="298" spans="1:87" x14ac:dyDescent="0.3">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c r="CC298" s="13"/>
      <c r="CD298" s="13"/>
      <c r="CE298" s="13"/>
      <c r="CF298" s="13"/>
      <c r="CG298" s="13"/>
      <c r="CH298" s="13"/>
      <c r="CI298" s="13"/>
    </row>
    <row r="299" spans="1:87" x14ac:dyDescent="0.3">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c r="BU299" s="13"/>
      <c r="BV299" s="13"/>
      <c r="BW299" s="13"/>
      <c r="BX299" s="13"/>
      <c r="BY299" s="13"/>
      <c r="BZ299" s="13"/>
      <c r="CA299" s="13"/>
      <c r="CB299" s="13"/>
      <c r="CC299" s="13"/>
      <c r="CD299" s="13"/>
      <c r="CE299" s="13"/>
      <c r="CF299" s="13"/>
      <c r="CG299" s="13"/>
      <c r="CH299" s="13"/>
      <c r="CI299" s="13"/>
    </row>
    <row r="300" spans="1:87" x14ac:dyDescent="0.3">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row>
    <row r="301" spans="1:87" x14ac:dyDescent="0.3">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c r="BU301" s="13"/>
      <c r="BV301" s="13"/>
      <c r="BW301" s="13"/>
      <c r="BX301" s="13"/>
      <c r="BY301" s="13"/>
      <c r="BZ301" s="13"/>
      <c r="CA301" s="13"/>
      <c r="CB301" s="13"/>
      <c r="CC301" s="13"/>
      <c r="CD301" s="13"/>
      <c r="CE301" s="13"/>
      <c r="CF301" s="13"/>
      <c r="CG301" s="13"/>
      <c r="CH301" s="13"/>
      <c r="CI301" s="13"/>
    </row>
    <row r="302" spans="1:87" x14ac:dyDescent="0.3">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c r="BU302" s="13"/>
      <c r="BV302" s="13"/>
      <c r="BW302" s="13"/>
      <c r="BX302" s="13"/>
      <c r="BY302" s="13"/>
      <c r="BZ302" s="13"/>
      <c r="CA302" s="13"/>
      <c r="CB302" s="13"/>
      <c r="CC302" s="13"/>
      <c r="CD302" s="13"/>
      <c r="CE302" s="13"/>
      <c r="CF302" s="13"/>
      <c r="CG302" s="13"/>
      <c r="CH302" s="13"/>
      <c r="CI302" s="13"/>
    </row>
    <row r="303" spans="1:87" x14ac:dyDescent="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row>
    <row r="304" spans="1:87" x14ac:dyDescent="0.3">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c r="BU304" s="13"/>
      <c r="BV304" s="13"/>
      <c r="BW304" s="13"/>
      <c r="BX304" s="13"/>
      <c r="BY304" s="13"/>
      <c r="BZ304" s="13"/>
      <c r="CA304" s="13"/>
      <c r="CB304" s="13"/>
      <c r="CC304" s="13"/>
      <c r="CD304" s="13"/>
      <c r="CE304" s="13"/>
      <c r="CF304" s="13"/>
      <c r="CG304" s="13"/>
      <c r="CH304" s="13"/>
      <c r="CI304" s="13"/>
    </row>
    <row r="305" spans="1:87" x14ac:dyDescent="0.3">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c r="BU305" s="13"/>
      <c r="BV305" s="13"/>
      <c r="BW305" s="13"/>
      <c r="BX305" s="13"/>
      <c r="BY305" s="13"/>
      <c r="BZ305" s="13"/>
      <c r="CA305" s="13"/>
      <c r="CB305" s="13"/>
      <c r="CC305" s="13"/>
      <c r="CD305" s="13"/>
      <c r="CE305" s="13"/>
      <c r="CF305" s="13"/>
      <c r="CG305" s="13"/>
      <c r="CH305" s="13"/>
      <c r="CI305" s="13"/>
    </row>
    <row r="306" spans="1:87" x14ac:dyDescent="0.3">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c r="CB306" s="13"/>
      <c r="CC306" s="13"/>
      <c r="CD306" s="13"/>
      <c r="CE306" s="13"/>
      <c r="CF306" s="13"/>
      <c r="CG306" s="13"/>
      <c r="CH306" s="13"/>
      <c r="CI306" s="13"/>
    </row>
    <row r="307" spans="1:87" x14ac:dyDescent="0.3">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c r="BU307" s="13"/>
      <c r="BV307" s="13"/>
      <c r="BW307" s="13"/>
      <c r="BX307" s="13"/>
      <c r="BY307" s="13"/>
      <c r="BZ307" s="13"/>
      <c r="CA307" s="13"/>
      <c r="CB307" s="13"/>
      <c r="CC307" s="13"/>
      <c r="CD307" s="13"/>
      <c r="CE307" s="13"/>
      <c r="CF307" s="13"/>
      <c r="CG307" s="13"/>
      <c r="CH307" s="13"/>
      <c r="CI307" s="13"/>
    </row>
    <row r="308" spans="1:87" x14ac:dyDescent="0.3">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c r="CC308" s="13"/>
      <c r="CD308" s="13"/>
      <c r="CE308" s="13"/>
      <c r="CF308" s="13"/>
      <c r="CG308" s="13"/>
      <c r="CH308" s="13"/>
      <c r="CI308" s="13"/>
    </row>
    <row r="309" spans="1:87" x14ac:dyDescent="0.3">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c r="CC309" s="13"/>
      <c r="CD309" s="13"/>
      <c r="CE309" s="13"/>
      <c r="CF309" s="13"/>
      <c r="CG309" s="13"/>
      <c r="CH309" s="13"/>
      <c r="CI309" s="13"/>
    </row>
    <row r="310" spans="1:87" x14ac:dyDescent="0.3">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c r="CC310" s="13"/>
      <c r="CD310" s="13"/>
      <c r="CE310" s="13"/>
      <c r="CF310" s="13"/>
      <c r="CG310" s="13"/>
      <c r="CH310" s="13"/>
      <c r="CI310" s="13"/>
    </row>
    <row r="311" spans="1:87" x14ac:dyDescent="0.3">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c r="BU311" s="13"/>
      <c r="BV311" s="13"/>
      <c r="BW311" s="13"/>
      <c r="BX311" s="13"/>
      <c r="BY311" s="13"/>
      <c r="BZ311" s="13"/>
      <c r="CA311" s="13"/>
      <c r="CB311" s="13"/>
      <c r="CC311" s="13"/>
      <c r="CD311" s="13"/>
      <c r="CE311" s="13"/>
      <c r="CF311" s="13"/>
      <c r="CG311" s="13"/>
      <c r="CH311" s="13"/>
      <c r="CI311" s="13"/>
    </row>
    <row r="312" spans="1:87" x14ac:dyDescent="0.3">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row>
    <row r="313" spans="1:87" x14ac:dyDescent="0.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row>
    <row r="314" spans="1:87" x14ac:dyDescent="0.3">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c r="BU314" s="13"/>
      <c r="BV314" s="13"/>
      <c r="BW314" s="13"/>
      <c r="BX314" s="13"/>
      <c r="BY314" s="13"/>
      <c r="BZ314" s="13"/>
      <c r="CA314" s="13"/>
      <c r="CB314" s="13"/>
      <c r="CC314" s="13"/>
      <c r="CD314" s="13"/>
      <c r="CE314" s="13"/>
      <c r="CF314" s="13"/>
      <c r="CG314" s="13"/>
      <c r="CH314" s="13"/>
      <c r="CI314" s="13"/>
    </row>
    <row r="315" spans="1:87" x14ac:dyDescent="0.3">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3"/>
      <c r="BR315" s="13"/>
      <c r="BS315" s="13"/>
      <c r="BT315" s="13"/>
      <c r="BU315" s="13"/>
      <c r="BV315" s="13"/>
      <c r="BW315" s="13"/>
      <c r="BX315" s="13"/>
      <c r="BY315" s="13"/>
      <c r="BZ315" s="13"/>
      <c r="CA315" s="13"/>
      <c r="CB315" s="13"/>
      <c r="CC315" s="13"/>
      <c r="CD315" s="13"/>
      <c r="CE315" s="13"/>
      <c r="CF315" s="13"/>
      <c r="CG315" s="13"/>
      <c r="CH315" s="13"/>
      <c r="CI315" s="13"/>
    </row>
    <row r="316" spans="1:87" x14ac:dyDescent="0.3">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c r="BU316" s="13"/>
      <c r="BV316" s="13"/>
      <c r="BW316" s="13"/>
      <c r="BX316" s="13"/>
      <c r="BY316" s="13"/>
      <c r="BZ316" s="13"/>
      <c r="CA316" s="13"/>
      <c r="CB316" s="13"/>
      <c r="CC316" s="13"/>
      <c r="CD316" s="13"/>
      <c r="CE316" s="13"/>
      <c r="CF316" s="13"/>
      <c r="CG316" s="13"/>
      <c r="CH316" s="13"/>
      <c r="CI316" s="13"/>
    </row>
    <row r="317" spans="1:87" x14ac:dyDescent="0.3">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c r="BU317" s="13"/>
      <c r="BV317" s="13"/>
      <c r="BW317" s="13"/>
      <c r="BX317" s="13"/>
      <c r="BY317" s="13"/>
      <c r="BZ317" s="13"/>
      <c r="CA317" s="13"/>
      <c r="CB317" s="13"/>
      <c r="CC317" s="13"/>
      <c r="CD317" s="13"/>
      <c r="CE317" s="13"/>
      <c r="CF317" s="13"/>
      <c r="CG317" s="13"/>
      <c r="CH317" s="13"/>
      <c r="CI317" s="13"/>
    </row>
    <row r="318" spans="1:87" x14ac:dyDescent="0.3">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row>
    <row r="319" spans="1:87" x14ac:dyDescent="0.3">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row>
    <row r="320" spans="1:87" x14ac:dyDescent="0.3">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c r="BU320" s="13"/>
      <c r="BV320" s="13"/>
      <c r="BW320" s="13"/>
      <c r="BX320" s="13"/>
      <c r="BY320" s="13"/>
      <c r="BZ320" s="13"/>
      <c r="CA320" s="13"/>
      <c r="CB320" s="13"/>
      <c r="CC320" s="13"/>
      <c r="CD320" s="13"/>
      <c r="CE320" s="13"/>
      <c r="CF320" s="13"/>
      <c r="CG320" s="13"/>
      <c r="CH320" s="13"/>
      <c r="CI320" s="13"/>
    </row>
    <row r="321" spans="1:87" x14ac:dyDescent="0.3">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row>
    <row r="322" spans="1:87" x14ac:dyDescent="0.3">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row>
    <row r="323" spans="1:87" x14ac:dyDescent="0.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c r="BU323" s="13"/>
      <c r="BV323" s="13"/>
      <c r="BW323" s="13"/>
      <c r="BX323" s="13"/>
      <c r="BY323" s="13"/>
      <c r="BZ323" s="13"/>
      <c r="CA323" s="13"/>
      <c r="CB323" s="13"/>
      <c r="CC323" s="13"/>
      <c r="CD323" s="13"/>
      <c r="CE323" s="13"/>
      <c r="CF323" s="13"/>
      <c r="CG323" s="13"/>
      <c r="CH323" s="13"/>
      <c r="CI323" s="13"/>
    </row>
    <row r="324" spans="1:87" x14ac:dyDescent="0.3">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c r="BU324" s="13"/>
      <c r="BV324" s="13"/>
      <c r="BW324" s="13"/>
      <c r="BX324" s="13"/>
      <c r="BY324" s="13"/>
      <c r="BZ324" s="13"/>
      <c r="CA324" s="13"/>
      <c r="CB324" s="13"/>
      <c r="CC324" s="13"/>
      <c r="CD324" s="13"/>
      <c r="CE324" s="13"/>
      <c r="CF324" s="13"/>
      <c r="CG324" s="13"/>
      <c r="CH324" s="13"/>
      <c r="CI324" s="13"/>
    </row>
  </sheetData>
  <mergeCells count="2">
    <mergeCell ref="H1:N1"/>
    <mergeCell ref="O1:U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25EA3-7334-4A0D-934E-10F8DC3A03B5}">
  <dimension ref="A1:I795"/>
  <sheetViews>
    <sheetView workbookViewId="0"/>
  </sheetViews>
  <sheetFormatPr defaultRowHeight="14.4" x14ac:dyDescent="0.3"/>
  <cols>
    <col min="1" max="1" width="10.88671875" bestFit="1" customWidth="1"/>
    <col min="2" max="2" width="12.33203125" customWidth="1"/>
    <col min="3" max="3" width="11.44140625" customWidth="1"/>
    <col min="4" max="4" width="28.6640625" bestFit="1" customWidth="1"/>
    <col min="5" max="5" width="13" customWidth="1"/>
    <col min="6" max="6" width="21.33203125" customWidth="1"/>
    <col min="7" max="7" width="15.33203125" bestFit="1" customWidth="1"/>
    <col min="8" max="8" width="26.33203125" customWidth="1"/>
    <col min="9" max="9" width="12.88671875" bestFit="1" customWidth="1"/>
    <col min="10" max="10" width="12.5546875" bestFit="1" customWidth="1"/>
  </cols>
  <sheetData>
    <row r="1" spans="1:9" x14ac:dyDescent="0.3">
      <c r="A1" t="s">
        <v>3</v>
      </c>
      <c r="B1" t="s">
        <v>50</v>
      </c>
      <c r="C1" t="s">
        <v>57</v>
      </c>
      <c r="D1" t="s">
        <v>58</v>
      </c>
      <c r="E1" t="s">
        <v>65</v>
      </c>
      <c r="F1" t="s">
        <v>68</v>
      </c>
      <c r="G1" t="s">
        <v>69</v>
      </c>
      <c r="H1" t="s">
        <v>70</v>
      </c>
      <c r="I1" t="s">
        <v>819</v>
      </c>
    </row>
    <row r="2" spans="1:9" x14ac:dyDescent="0.3">
      <c r="A2" t="s">
        <v>4</v>
      </c>
      <c r="B2" t="s">
        <v>51</v>
      </c>
      <c r="C2" s="1">
        <v>44739</v>
      </c>
      <c r="D2" t="s">
        <v>59</v>
      </c>
      <c r="E2" t="s">
        <v>66</v>
      </c>
      <c r="F2">
        <v>72</v>
      </c>
      <c r="G2" t="s">
        <v>0</v>
      </c>
      <c r="H2" s="2">
        <v>8</v>
      </c>
      <c r="I2" s="16">
        <v>1.372080123313592E-2</v>
      </c>
    </row>
    <row r="3" spans="1:9" x14ac:dyDescent="0.3">
      <c r="A3" t="s">
        <v>5</v>
      </c>
      <c r="B3" t="s">
        <v>52</v>
      </c>
      <c r="C3" s="1">
        <v>44740</v>
      </c>
      <c r="D3" t="s">
        <v>60</v>
      </c>
      <c r="E3" t="s">
        <v>67</v>
      </c>
      <c r="F3">
        <v>65</v>
      </c>
      <c r="G3" t="s">
        <v>1</v>
      </c>
      <c r="H3" s="2">
        <v>7</v>
      </c>
      <c r="I3" s="16">
        <v>2.2083854314921911E-2</v>
      </c>
    </row>
    <row r="4" spans="1:9" x14ac:dyDescent="0.3">
      <c r="A4" t="s">
        <v>6</v>
      </c>
      <c r="B4" t="s">
        <v>53</v>
      </c>
      <c r="C4" s="1">
        <v>44734</v>
      </c>
      <c r="D4" t="s">
        <v>61</v>
      </c>
      <c r="E4" t="s">
        <v>66</v>
      </c>
      <c r="F4">
        <v>250</v>
      </c>
      <c r="G4" t="s">
        <v>2</v>
      </c>
      <c r="H4" s="2">
        <v>3</v>
      </c>
      <c r="I4" s="16">
        <v>0.92842323956324613</v>
      </c>
    </row>
    <row r="5" spans="1:9" x14ac:dyDescent="0.3">
      <c r="A5" t="s">
        <v>7</v>
      </c>
      <c r="B5" t="s">
        <v>54</v>
      </c>
      <c r="C5" s="1">
        <v>44737</v>
      </c>
      <c r="D5" t="s">
        <v>62</v>
      </c>
      <c r="E5" t="s">
        <v>67</v>
      </c>
      <c r="F5">
        <v>130</v>
      </c>
      <c r="G5" t="s">
        <v>0</v>
      </c>
      <c r="H5" s="2">
        <v>5</v>
      </c>
      <c r="I5" s="16">
        <v>0.20990358910221096</v>
      </c>
    </row>
    <row r="6" spans="1:9" x14ac:dyDescent="0.3">
      <c r="A6" t="s">
        <v>8</v>
      </c>
      <c r="B6" t="s">
        <v>51</v>
      </c>
      <c r="C6" s="1">
        <v>44735</v>
      </c>
      <c r="D6" t="s">
        <v>59</v>
      </c>
      <c r="E6" t="s">
        <v>66</v>
      </c>
      <c r="F6">
        <v>72</v>
      </c>
      <c r="G6" t="s">
        <v>1</v>
      </c>
      <c r="H6" s="2">
        <v>4</v>
      </c>
      <c r="I6" s="16">
        <v>0.184343159134289</v>
      </c>
    </row>
    <row r="7" spans="1:9" x14ac:dyDescent="0.3">
      <c r="A7" t="s">
        <v>9</v>
      </c>
      <c r="B7" t="s">
        <v>52</v>
      </c>
      <c r="C7" s="1">
        <v>44727</v>
      </c>
      <c r="D7" t="s">
        <v>60</v>
      </c>
      <c r="E7" t="s">
        <v>67</v>
      </c>
      <c r="F7">
        <v>65</v>
      </c>
      <c r="G7" t="s">
        <v>2</v>
      </c>
      <c r="H7" s="2">
        <v>8</v>
      </c>
      <c r="I7" s="16">
        <v>0.11144429073382323</v>
      </c>
    </row>
    <row r="8" spans="1:9" x14ac:dyDescent="0.3">
      <c r="A8" t="s">
        <v>10</v>
      </c>
      <c r="B8" t="s">
        <v>53</v>
      </c>
      <c r="C8" s="1">
        <v>44740</v>
      </c>
      <c r="D8" t="s">
        <v>61</v>
      </c>
      <c r="E8" t="s">
        <v>66</v>
      </c>
      <c r="F8">
        <v>250</v>
      </c>
      <c r="G8" t="s">
        <v>0</v>
      </c>
      <c r="H8" s="2">
        <v>3</v>
      </c>
      <c r="I8" s="16">
        <v>0.56286929186816415</v>
      </c>
    </row>
    <row r="9" spans="1:9" x14ac:dyDescent="0.3">
      <c r="A9" t="s">
        <v>11</v>
      </c>
      <c r="B9" t="s">
        <v>54</v>
      </c>
      <c r="C9" s="1">
        <v>44725</v>
      </c>
      <c r="D9" t="s">
        <v>62</v>
      </c>
      <c r="E9" t="s">
        <v>67</v>
      </c>
      <c r="F9">
        <v>130</v>
      </c>
      <c r="G9" t="s">
        <v>1</v>
      </c>
      <c r="H9" s="2">
        <v>6</v>
      </c>
      <c r="I9" s="16">
        <v>3.138956050307417E-2</v>
      </c>
    </row>
    <row r="10" spans="1:9" x14ac:dyDescent="0.3">
      <c r="A10" t="s">
        <v>12</v>
      </c>
      <c r="B10" t="s">
        <v>55</v>
      </c>
      <c r="C10" s="1">
        <v>44736</v>
      </c>
      <c r="D10" t="s">
        <v>63</v>
      </c>
      <c r="E10" t="s">
        <v>66</v>
      </c>
      <c r="F10">
        <v>60</v>
      </c>
      <c r="G10" t="s">
        <v>2</v>
      </c>
      <c r="H10" s="2">
        <v>7</v>
      </c>
      <c r="I10" s="16">
        <v>0.23798278495106248</v>
      </c>
    </row>
    <row r="11" spans="1:9" x14ac:dyDescent="0.3">
      <c r="A11" t="s">
        <v>13</v>
      </c>
      <c r="B11" t="s">
        <v>51</v>
      </c>
      <c r="C11" s="1">
        <v>44725</v>
      </c>
      <c r="D11" t="s">
        <v>59</v>
      </c>
      <c r="E11" t="s">
        <v>67</v>
      </c>
      <c r="F11">
        <v>72</v>
      </c>
      <c r="G11" t="s">
        <v>0</v>
      </c>
      <c r="H11" s="2">
        <v>9</v>
      </c>
      <c r="I11" s="16">
        <v>0.19712344024473996</v>
      </c>
    </row>
    <row r="12" spans="1:9" x14ac:dyDescent="0.3">
      <c r="A12" t="s">
        <v>14</v>
      </c>
      <c r="B12" t="s">
        <v>52</v>
      </c>
      <c r="C12" s="1">
        <v>44734</v>
      </c>
      <c r="D12" t="s">
        <v>60</v>
      </c>
      <c r="E12" t="s">
        <v>66</v>
      </c>
      <c r="F12">
        <v>65</v>
      </c>
      <c r="G12" t="s">
        <v>1</v>
      </c>
      <c r="H12" s="2">
        <v>4</v>
      </c>
      <c r="I12" s="16">
        <v>6.8295799738434873E-2</v>
      </c>
    </row>
    <row r="13" spans="1:9" x14ac:dyDescent="0.3">
      <c r="A13" t="s">
        <v>15</v>
      </c>
      <c r="B13" t="s">
        <v>53</v>
      </c>
      <c r="C13" s="1">
        <v>44731</v>
      </c>
      <c r="D13" t="s">
        <v>61</v>
      </c>
      <c r="E13" t="s">
        <v>67</v>
      </c>
      <c r="F13">
        <v>250</v>
      </c>
      <c r="G13" t="s">
        <v>2</v>
      </c>
      <c r="H13" s="2">
        <v>3</v>
      </c>
      <c r="I13" s="16">
        <v>1.6828522965904168E-2</v>
      </c>
    </row>
    <row r="14" spans="1:9" x14ac:dyDescent="0.3">
      <c r="A14" t="s">
        <v>16</v>
      </c>
      <c r="B14" t="s">
        <v>54</v>
      </c>
      <c r="C14" s="1">
        <v>44730</v>
      </c>
      <c r="D14" t="s">
        <v>62</v>
      </c>
      <c r="E14" t="s">
        <v>66</v>
      </c>
      <c r="F14">
        <v>130</v>
      </c>
      <c r="G14" t="s">
        <v>0</v>
      </c>
      <c r="H14" s="2">
        <v>5</v>
      </c>
      <c r="I14" s="16">
        <v>0.26661284065553453</v>
      </c>
    </row>
    <row r="15" spans="1:9" x14ac:dyDescent="0.3">
      <c r="A15" t="s">
        <v>17</v>
      </c>
      <c r="B15" t="s">
        <v>51</v>
      </c>
      <c r="C15" s="1">
        <v>44735</v>
      </c>
      <c r="D15" t="s">
        <v>59</v>
      </c>
      <c r="E15" t="s">
        <v>67</v>
      </c>
      <c r="F15">
        <v>72</v>
      </c>
      <c r="G15" t="s">
        <v>1</v>
      </c>
      <c r="H15" s="2">
        <v>12</v>
      </c>
      <c r="I15" s="16">
        <v>0.21251347110701568</v>
      </c>
    </row>
    <row r="16" spans="1:9" x14ac:dyDescent="0.3">
      <c r="A16" t="s">
        <v>18</v>
      </c>
      <c r="B16" t="s">
        <v>52</v>
      </c>
      <c r="C16" s="1">
        <v>44738</v>
      </c>
      <c r="D16" t="s">
        <v>60</v>
      </c>
      <c r="E16" t="s">
        <v>66</v>
      </c>
      <c r="F16">
        <v>65</v>
      </c>
      <c r="G16" t="s">
        <v>2</v>
      </c>
      <c r="H16" s="2">
        <v>4</v>
      </c>
      <c r="I16" s="16">
        <v>0.10994257661413849</v>
      </c>
    </row>
    <row r="17" spans="1:9" x14ac:dyDescent="0.3">
      <c r="A17" t="s">
        <v>19</v>
      </c>
      <c r="B17" t="s">
        <v>53</v>
      </c>
      <c r="C17" s="1">
        <v>44738</v>
      </c>
      <c r="D17" t="s">
        <v>61</v>
      </c>
      <c r="E17" t="s">
        <v>67</v>
      </c>
      <c r="F17">
        <v>250</v>
      </c>
      <c r="G17" t="s">
        <v>0</v>
      </c>
      <c r="H17" s="2">
        <v>3</v>
      </c>
      <c r="I17" s="16">
        <v>0.53607498908607099</v>
      </c>
    </row>
    <row r="18" spans="1:9" x14ac:dyDescent="0.3">
      <c r="A18" t="s">
        <v>20</v>
      </c>
      <c r="B18" t="s">
        <v>54</v>
      </c>
      <c r="C18" s="1">
        <v>44725</v>
      </c>
      <c r="D18" t="s">
        <v>62</v>
      </c>
      <c r="E18" t="s">
        <v>66</v>
      </c>
      <c r="F18">
        <v>130</v>
      </c>
      <c r="G18" t="s">
        <v>1</v>
      </c>
      <c r="H18" s="2">
        <v>5</v>
      </c>
      <c r="I18" s="16">
        <v>3.7515550327758003E-2</v>
      </c>
    </row>
    <row r="19" spans="1:9" x14ac:dyDescent="0.3">
      <c r="A19" t="s">
        <v>21</v>
      </c>
      <c r="B19" t="s">
        <v>55</v>
      </c>
      <c r="C19" s="1">
        <v>44730</v>
      </c>
      <c r="D19" t="s">
        <v>63</v>
      </c>
      <c r="E19" t="s">
        <v>66</v>
      </c>
      <c r="F19">
        <v>60</v>
      </c>
      <c r="G19" t="s">
        <v>2</v>
      </c>
      <c r="H19" s="2">
        <v>13</v>
      </c>
      <c r="I19" s="16">
        <v>2.4938289886663061E-2</v>
      </c>
    </row>
    <row r="20" spans="1:9" x14ac:dyDescent="0.3">
      <c r="A20" t="s">
        <v>22</v>
      </c>
      <c r="B20" t="s">
        <v>56</v>
      </c>
      <c r="C20" s="1">
        <v>44738</v>
      </c>
      <c r="D20" t="s">
        <v>64</v>
      </c>
      <c r="E20" t="s">
        <v>67</v>
      </c>
      <c r="F20">
        <v>95</v>
      </c>
      <c r="G20" t="s">
        <v>0</v>
      </c>
      <c r="H20" s="2">
        <v>5</v>
      </c>
      <c r="I20" s="16">
        <v>1.0123391970414241E-2</v>
      </c>
    </row>
    <row r="21" spans="1:9" x14ac:dyDescent="0.3">
      <c r="A21" t="s">
        <v>23</v>
      </c>
      <c r="B21" t="s">
        <v>51</v>
      </c>
      <c r="C21" s="1">
        <v>44730</v>
      </c>
      <c r="D21" t="s">
        <v>59</v>
      </c>
      <c r="E21" t="s">
        <v>67</v>
      </c>
      <c r="F21">
        <v>72</v>
      </c>
      <c r="G21" t="s">
        <v>1</v>
      </c>
      <c r="H21" s="2">
        <v>5</v>
      </c>
      <c r="I21" s="16">
        <v>0.1308869366379137</v>
      </c>
    </row>
    <row r="22" spans="1:9" x14ac:dyDescent="0.3">
      <c r="A22" t="s">
        <v>24</v>
      </c>
      <c r="B22" t="s">
        <v>52</v>
      </c>
      <c r="C22" s="1">
        <v>44738</v>
      </c>
      <c r="D22" t="s">
        <v>60</v>
      </c>
      <c r="E22" t="s">
        <v>67</v>
      </c>
      <c r="F22">
        <v>65</v>
      </c>
      <c r="G22" t="s">
        <v>2</v>
      </c>
      <c r="H22" s="2">
        <v>4</v>
      </c>
      <c r="I22" s="16">
        <v>6.6961969492996459E-2</v>
      </c>
    </row>
    <row r="23" spans="1:9" x14ac:dyDescent="0.3">
      <c r="A23" t="s">
        <v>25</v>
      </c>
      <c r="B23" t="s">
        <v>53</v>
      </c>
      <c r="C23" s="1">
        <v>44734</v>
      </c>
      <c r="D23" t="s">
        <v>61</v>
      </c>
      <c r="E23" t="s">
        <v>66</v>
      </c>
      <c r="F23">
        <v>250</v>
      </c>
      <c r="G23" t="s">
        <v>0</v>
      </c>
      <c r="H23" s="2">
        <v>3</v>
      </c>
      <c r="I23" s="16">
        <v>0.36350761794645753</v>
      </c>
    </row>
    <row r="24" spans="1:9" x14ac:dyDescent="0.3">
      <c r="A24" t="s">
        <v>26</v>
      </c>
      <c r="B24" t="s">
        <v>54</v>
      </c>
      <c r="C24" s="1">
        <v>44729</v>
      </c>
      <c r="D24" t="s">
        <v>62</v>
      </c>
      <c r="E24" t="s">
        <v>66</v>
      </c>
      <c r="F24">
        <v>130</v>
      </c>
      <c r="G24" t="s">
        <v>1</v>
      </c>
      <c r="H24" s="2">
        <v>6</v>
      </c>
      <c r="I24" s="16">
        <v>0.30841415491993102</v>
      </c>
    </row>
    <row r="25" spans="1:9" x14ac:dyDescent="0.3">
      <c r="A25" t="s">
        <v>27</v>
      </c>
      <c r="B25" t="s">
        <v>51</v>
      </c>
      <c r="C25" s="1">
        <v>44730</v>
      </c>
      <c r="D25" t="s">
        <v>59</v>
      </c>
      <c r="E25" t="s">
        <v>66</v>
      </c>
      <c r="F25">
        <v>72</v>
      </c>
      <c r="G25" t="s">
        <v>2</v>
      </c>
      <c r="H25" s="2">
        <v>8</v>
      </c>
      <c r="I25" s="16">
        <v>0.21287301321989574</v>
      </c>
    </row>
    <row r="26" spans="1:9" x14ac:dyDescent="0.3">
      <c r="A26" t="s">
        <v>28</v>
      </c>
      <c r="B26" t="s">
        <v>52</v>
      </c>
      <c r="C26" s="1">
        <v>44728</v>
      </c>
      <c r="D26" t="s">
        <v>60</v>
      </c>
      <c r="E26" t="s">
        <v>66</v>
      </c>
      <c r="F26">
        <v>65</v>
      </c>
      <c r="G26" t="s">
        <v>0</v>
      </c>
      <c r="H26" s="2">
        <v>5</v>
      </c>
      <c r="I26" s="16">
        <v>0.11047742601795077</v>
      </c>
    </row>
    <row r="27" spans="1:9" x14ac:dyDescent="0.3">
      <c r="A27" t="s">
        <v>29</v>
      </c>
      <c r="B27" t="s">
        <v>53</v>
      </c>
      <c r="C27" s="1">
        <v>44735</v>
      </c>
      <c r="D27" t="s">
        <v>61</v>
      </c>
      <c r="E27" t="s">
        <v>66</v>
      </c>
      <c r="F27">
        <v>250</v>
      </c>
      <c r="G27" t="s">
        <v>1</v>
      </c>
      <c r="H27" s="2">
        <v>2</v>
      </c>
      <c r="I27" s="16">
        <v>4.8799156151631218E-2</v>
      </c>
    </row>
    <row r="28" spans="1:9" x14ac:dyDescent="0.3">
      <c r="A28" t="s">
        <v>35</v>
      </c>
      <c r="B28" t="s">
        <v>54</v>
      </c>
      <c r="C28" s="1">
        <v>44738</v>
      </c>
      <c r="D28" t="s">
        <v>62</v>
      </c>
      <c r="E28" t="s">
        <v>66</v>
      </c>
      <c r="F28">
        <v>130</v>
      </c>
      <c r="G28" t="s">
        <v>2</v>
      </c>
      <c r="H28" s="2">
        <v>3</v>
      </c>
      <c r="I28" s="16">
        <v>0.27879506176921365</v>
      </c>
    </row>
    <row r="29" spans="1:9" x14ac:dyDescent="0.3">
      <c r="A29" t="s">
        <v>30</v>
      </c>
      <c r="B29" t="s">
        <v>55</v>
      </c>
      <c r="C29" s="1">
        <v>44738</v>
      </c>
      <c r="D29" t="s">
        <v>63</v>
      </c>
      <c r="E29" t="s">
        <v>66</v>
      </c>
      <c r="F29">
        <v>60</v>
      </c>
      <c r="G29" t="s">
        <v>0</v>
      </c>
      <c r="H29" s="2">
        <v>14</v>
      </c>
      <c r="I29" s="16">
        <v>7.6045534046593019E-2</v>
      </c>
    </row>
    <row r="30" spans="1:9" x14ac:dyDescent="0.3">
      <c r="A30" t="s">
        <v>31</v>
      </c>
      <c r="B30" t="s">
        <v>51</v>
      </c>
      <c r="C30" s="1">
        <v>44734</v>
      </c>
      <c r="D30" t="s">
        <v>59</v>
      </c>
      <c r="E30" t="s">
        <v>66</v>
      </c>
      <c r="F30">
        <v>72</v>
      </c>
      <c r="G30" t="s">
        <v>1</v>
      </c>
      <c r="H30" s="2">
        <v>12</v>
      </c>
      <c r="I30" s="16">
        <v>0.12055762754740325</v>
      </c>
    </row>
    <row r="31" spans="1:9" x14ac:dyDescent="0.3">
      <c r="A31" t="s">
        <v>32</v>
      </c>
      <c r="B31" t="s">
        <v>52</v>
      </c>
      <c r="C31" s="1">
        <v>44727</v>
      </c>
      <c r="D31" t="s">
        <v>60</v>
      </c>
      <c r="E31" t="s">
        <v>66</v>
      </c>
      <c r="F31">
        <v>65</v>
      </c>
      <c r="G31" t="s">
        <v>2</v>
      </c>
      <c r="H31" s="2">
        <v>5</v>
      </c>
      <c r="I31" s="16">
        <v>0.30283946337780637</v>
      </c>
    </row>
    <row r="32" spans="1:9" x14ac:dyDescent="0.3">
      <c r="A32" t="s">
        <v>33</v>
      </c>
      <c r="B32" t="s">
        <v>53</v>
      </c>
      <c r="C32" s="1">
        <v>44729</v>
      </c>
      <c r="D32" t="s">
        <v>61</v>
      </c>
      <c r="E32" t="s">
        <v>67</v>
      </c>
      <c r="F32">
        <v>250</v>
      </c>
      <c r="G32" t="s">
        <v>0</v>
      </c>
      <c r="H32" s="2">
        <v>1</v>
      </c>
      <c r="I32" s="16">
        <v>0.41401829873258272</v>
      </c>
    </row>
    <row r="33" spans="1:9" x14ac:dyDescent="0.3">
      <c r="A33" t="s">
        <v>34</v>
      </c>
      <c r="B33" t="s">
        <v>54</v>
      </c>
      <c r="C33" s="1">
        <v>44726</v>
      </c>
      <c r="D33" t="s">
        <v>62</v>
      </c>
      <c r="E33" t="s">
        <v>66</v>
      </c>
      <c r="F33">
        <v>130</v>
      </c>
      <c r="G33" t="s">
        <v>1</v>
      </c>
      <c r="H33" s="2">
        <v>4</v>
      </c>
      <c r="I33" s="16">
        <v>6.1603660271292333E-3</v>
      </c>
    </row>
    <row r="34" spans="1:9" x14ac:dyDescent="0.3">
      <c r="A34" t="s">
        <v>36</v>
      </c>
      <c r="B34" t="s">
        <v>51</v>
      </c>
      <c r="C34" s="1">
        <v>44733</v>
      </c>
      <c r="D34" t="s">
        <v>59</v>
      </c>
      <c r="E34" t="s">
        <v>66</v>
      </c>
      <c r="F34">
        <v>72</v>
      </c>
      <c r="G34" t="s">
        <v>2</v>
      </c>
      <c r="H34" s="2">
        <v>8</v>
      </c>
      <c r="I34" s="16">
        <v>0.10495963672233184</v>
      </c>
    </row>
    <row r="35" spans="1:9" x14ac:dyDescent="0.3">
      <c r="A35" t="s">
        <v>37</v>
      </c>
      <c r="B35" t="s">
        <v>52</v>
      </c>
      <c r="C35" s="1">
        <v>44730</v>
      </c>
      <c r="D35" t="s">
        <v>60</v>
      </c>
      <c r="E35" t="s">
        <v>66</v>
      </c>
      <c r="F35">
        <v>65</v>
      </c>
      <c r="G35" t="s">
        <v>0</v>
      </c>
      <c r="H35" s="2">
        <v>12</v>
      </c>
      <c r="I35" s="16">
        <v>0.29377273906475571</v>
      </c>
    </row>
    <row r="36" spans="1:9" x14ac:dyDescent="0.3">
      <c r="A36" t="s">
        <v>38</v>
      </c>
      <c r="B36" t="s">
        <v>53</v>
      </c>
      <c r="C36" s="1">
        <v>44736</v>
      </c>
      <c r="D36" t="s">
        <v>61</v>
      </c>
      <c r="E36" t="s">
        <v>66</v>
      </c>
      <c r="F36">
        <v>250</v>
      </c>
      <c r="G36" t="s">
        <v>1</v>
      </c>
      <c r="H36" s="2">
        <v>3</v>
      </c>
      <c r="I36" s="16">
        <v>0.56559810101924179</v>
      </c>
    </row>
    <row r="37" spans="1:9" x14ac:dyDescent="0.3">
      <c r="A37" t="s">
        <v>39</v>
      </c>
      <c r="B37" t="s">
        <v>54</v>
      </c>
      <c r="C37" s="1">
        <v>44732</v>
      </c>
      <c r="D37" t="s">
        <v>62</v>
      </c>
      <c r="E37" t="s">
        <v>66</v>
      </c>
      <c r="F37">
        <v>130</v>
      </c>
      <c r="G37" t="s">
        <v>2</v>
      </c>
      <c r="H37" s="2">
        <v>3</v>
      </c>
      <c r="I37" s="16">
        <v>0.14180367825735268</v>
      </c>
    </row>
    <row r="38" spans="1:9" x14ac:dyDescent="0.3">
      <c r="A38" t="s">
        <v>40</v>
      </c>
      <c r="B38" t="s">
        <v>55</v>
      </c>
      <c r="C38" s="1">
        <v>44732</v>
      </c>
      <c r="D38" t="s">
        <v>63</v>
      </c>
      <c r="E38" t="s">
        <v>67</v>
      </c>
      <c r="F38">
        <v>60</v>
      </c>
      <c r="G38" t="s">
        <v>0</v>
      </c>
      <c r="H38" s="2">
        <v>11</v>
      </c>
      <c r="I38" s="16">
        <v>0.19727585407121537</v>
      </c>
    </row>
    <row r="39" spans="1:9" x14ac:dyDescent="0.3">
      <c r="A39" t="s">
        <v>41</v>
      </c>
      <c r="B39" t="s">
        <v>56</v>
      </c>
      <c r="C39" s="1">
        <v>44731</v>
      </c>
      <c r="D39" t="s">
        <v>64</v>
      </c>
      <c r="E39" t="s">
        <v>66</v>
      </c>
      <c r="F39">
        <v>95</v>
      </c>
      <c r="G39" t="s">
        <v>1</v>
      </c>
      <c r="H39" s="2">
        <v>8</v>
      </c>
      <c r="I39" s="16">
        <v>0.16026707373910823</v>
      </c>
    </row>
    <row r="40" spans="1:9" x14ac:dyDescent="0.3">
      <c r="A40" t="s">
        <v>42</v>
      </c>
      <c r="B40" t="s">
        <v>51</v>
      </c>
      <c r="C40" s="1">
        <v>44735</v>
      </c>
      <c r="D40" t="s">
        <v>59</v>
      </c>
      <c r="E40" t="s">
        <v>66</v>
      </c>
      <c r="F40">
        <v>72</v>
      </c>
      <c r="G40" t="s">
        <v>2</v>
      </c>
      <c r="H40" s="2">
        <v>5</v>
      </c>
      <c r="I40" s="16">
        <v>3.6754234817017679E-2</v>
      </c>
    </row>
    <row r="41" spans="1:9" x14ac:dyDescent="0.3">
      <c r="A41" t="s">
        <v>43</v>
      </c>
      <c r="B41" t="s">
        <v>52</v>
      </c>
      <c r="C41" s="1">
        <v>44728</v>
      </c>
      <c r="D41" t="s">
        <v>60</v>
      </c>
      <c r="E41" t="s">
        <v>66</v>
      </c>
      <c r="F41">
        <v>65</v>
      </c>
      <c r="G41" t="s">
        <v>0</v>
      </c>
      <c r="H41" s="2">
        <v>6</v>
      </c>
      <c r="I41" s="16">
        <v>0.12047427034169578</v>
      </c>
    </row>
    <row r="42" spans="1:9" x14ac:dyDescent="0.3">
      <c r="A42" t="s">
        <v>44</v>
      </c>
      <c r="B42" t="s">
        <v>53</v>
      </c>
      <c r="C42" s="1">
        <v>44727</v>
      </c>
      <c r="D42" t="s">
        <v>61</v>
      </c>
      <c r="E42" t="s">
        <v>67</v>
      </c>
      <c r="F42">
        <v>250</v>
      </c>
      <c r="G42" t="s">
        <v>1</v>
      </c>
      <c r="H42" s="2">
        <v>1</v>
      </c>
      <c r="I42" s="16">
        <v>0.38636401364592987</v>
      </c>
    </row>
    <row r="43" spans="1:9" x14ac:dyDescent="0.3">
      <c r="A43" t="s">
        <v>45</v>
      </c>
      <c r="B43" t="s">
        <v>54</v>
      </c>
      <c r="C43" s="1">
        <v>44731</v>
      </c>
      <c r="D43" t="s">
        <v>62</v>
      </c>
      <c r="E43" t="s">
        <v>67</v>
      </c>
      <c r="F43">
        <v>130</v>
      </c>
      <c r="G43" t="s">
        <v>2</v>
      </c>
      <c r="H43" s="2">
        <v>7</v>
      </c>
      <c r="I43" s="16">
        <v>0.25111930985495906</v>
      </c>
    </row>
    <row r="44" spans="1:9" x14ac:dyDescent="0.3">
      <c r="A44" t="s">
        <v>46</v>
      </c>
      <c r="B44" t="s">
        <v>51</v>
      </c>
      <c r="C44" s="1">
        <v>44732</v>
      </c>
      <c r="D44" t="s">
        <v>59</v>
      </c>
      <c r="E44" t="s">
        <v>67</v>
      </c>
      <c r="F44">
        <v>72</v>
      </c>
      <c r="G44" t="s">
        <v>0</v>
      </c>
      <c r="H44" s="2">
        <v>7</v>
      </c>
      <c r="I44" s="16">
        <v>0.18099169049889144</v>
      </c>
    </row>
    <row r="45" spans="1:9" x14ac:dyDescent="0.3">
      <c r="A45" t="s">
        <v>47</v>
      </c>
      <c r="B45" t="s">
        <v>52</v>
      </c>
      <c r="C45" s="1">
        <v>44738</v>
      </c>
      <c r="D45" t="s">
        <v>60</v>
      </c>
      <c r="E45" t="s">
        <v>67</v>
      </c>
      <c r="F45">
        <v>65</v>
      </c>
      <c r="G45" t="s">
        <v>1</v>
      </c>
      <c r="H45" s="2">
        <v>3</v>
      </c>
      <c r="I45" s="16">
        <v>0.17363786365000505</v>
      </c>
    </row>
    <row r="46" spans="1:9" x14ac:dyDescent="0.3">
      <c r="A46" t="s">
        <v>48</v>
      </c>
      <c r="B46" t="s">
        <v>53</v>
      </c>
      <c r="C46" s="1">
        <v>44730</v>
      </c>
      <c r="D46" t="s">
        <v>61</v>
      </c>
      <c r="E46" t="s">
        <v>67</v>
      </c>
      <c r="F46">
        <v>250</v>
      </c>
      <c r="G46" t="s">
        <v>2</v>
      </c>
      <c r="H46" s="2">
        <v>1</v>
      </c>
      <c r="I46" s="16">
        <v>0.75489814137474298</v>
      </c>
    </row>
    <row r="47" spans="1:9" x14ac:dyDescent="0.3">
      <c r="A47" t="s">
        <v>49</v>
      </c>
      <c r="B47" t="s">
        <v>54</v>
      </c>
      <c r="C47" s="1">
        <v>44736</v>
      </c>
      <c r="D47" t="s">
        <v>62</v>
      </c>
      <c r="E47" t="s">
        <v>67</v>
      </c>
      <c r="F47">
        <v>130</v>
      </c>
      <c r="G47" t="s">
        <v>0</v>
      </c>
      <c r="H47" s="2">
        <v>6</v>
      </c>
      <c r="I47" s="16">
        <v>0.41826226246410803</v>
      </c>
    </row>
    <row r="48" spans="1:9" x14ac:dyDescent="0.3">
      <c r="A48" t="s">
        <v>71</v>
      </c>
      <c r="B48" t="s">
        <v>51</v>
      </c>
      <c r="C48" s="1">
        <v>44733</v>
      </c>
      <c r="D48" t="s">
        <v>59</v>
      </c>
      <c r="E48" t="s">
        <v>66</v>
      </c>
      <c r="F48">
        <v>72</v>
      </c>
      <c r="G48" t="s">
        <v>0</v>
      </c>
      <c r="H48" s="2">
        <v>4</v>
      </c>
      <c r="I48" s="16">
        <v>1.372080123313592E-2</v>
      </c>
    </row>
    <row r="49" spans="1:9" x14ac:dyDescent="0.3">
      <c r="A49" t="s">
        <v>72</v>
      </c>
      <c r="B49" t="s">
        <v>52</v>
      </c>
      <c r="C49" s="1">
        <v>44746</v>
      </c>
      <c r="D49" t="s">
        <v>60</v>
      </c>
      <c r="E49" t="s">
        <v>67</v>
      </c>
      <c r="F49">
        <v>65</v>
      </c>
      <c r="G49" t="s">
        <v>1</v>
      </c>
      <c r="H49" s="2">
        <v>6</v>
      </c>
      <c r="I49" s="16">
        <v>2.2083854314921911E-2</v>
      </c>
    </row>
    <row r="50" spans="1:9" x14ac:dyDescent="0.3">
      <c r="A50" t="s">
        <v>73</v>
      </c>
      <c r="B50" t="s">
        <v>53</v>
      </c>
      <c r="C50" s="1">
        <v>44755</v>
      </c>
      <c r="D50" t="s">
        <v>61</v>
      </c>
      <c r="E50" t="s">
        <v>66</v>
      </c>
      <c r="F50">
        <v>250</v>
      </c>
      <c r="G50" t="s">
        <v>2</v>
      </c>
      <c r="H50" s="2">
        <v>3</v>
      </c>
      <c r="I50" s="16">
        <v>0.92842323956324613</v>
      </c>
    </row>
    <row r="51" spans="1:9" x14ac:dyDescent="0.3">
      <c r="A51" t="s">
        <v>74</v>
      </c>
      <c r="B51" t="s">
        <v>54</v>
      </c>
      <c r="C51" s="1">
        <v>44755</v>
      </c>
      <c r="D51" t="s">
        <v>62</v>
      </c>
      <c r="E51" t="s">
        <v>67</v>
      </c>
      <c r="F51">
        <v>130</v>
      </c>
      <c r="G51" t="s">
        <v>0</v>
      </c>
      <c r="H51" s="2">
        <v>2</v>
      </c>
      <c r="I51" s="16">
        <v>0.20990358910221096</v>
      </c>
    </row>
    <row r="52" spans="1:9" x14ac:dyDescent="0.3">
      <c r="A52" t="s">
        <v>75</v>
      </c>
      <c r="B52" t="s">
        <v>51</v>
      </c>
      <c r="C52" s="1">
        <v>44727</v>
      </c>
      <c r="D52" t="s">
        <v>59</v>
      </c>
      <c r="E52" t="s">
        <v>66</v>
      </c>
      <c r="F52">
        <v>72</v>
      </c>
      <c r="G52" t="s">
        <v>1</v>
      </c>
      <c r="H52" s="2">
        <v>5</v>
      </c>
      <c r="I52" s="16">
        <v>0.184343159134289</v>
      </c>
    </row>
    <row r="53" spans="1:9" x14ac:dyDescent="0.3">
      <c r="A53" t="s">
        <v>76</v>
      </c>
      <c r="B53" t="s">
        <v>52</v>
      </c>
      <c r="C53" s="1">
        <v>44746</v>
      </c>
      <c r="D53" t="s">
        <v>60</v>
      </c>
      <c r="E53" t="s">
        <v>67</v>
      </c>
      <c r="F53">
        <v>65</v>
      </c>
      <c r="G53" t="s">
        <v>2</v>
      </c>
      <c r="H53" s="2">
        <v>8</v>
      </c>
      <c r="I53" s="16">
        <v>0.11144429073382323</v>
      </c>
    </row>
    <row r="54" spans="1:9" x14ac:dyDescent="0.3">
      <c r="A54" t="s">
        <v>77</v>
      </c>
      <c r="B54" t="s">
        <v>53</v>
      </c>
      <c r="C54" s="1">
        <v>44740</v>
      </c>
      <c r="D54" t="s">
        <v>61</v>
      </c>
      <c r="E54" t="s">
        <v>66</v>
      </c>
      <c r="F54">
        <v>250</v>
      </c>
      <c r="G54" t="s">
        <v>0</v>
      </c>
      <c r="H54" s="2">
        <v>3</v>
      </c>
      <c r="I54" s="16">
        <v>0.56286929186816415</v>
      </c>
    </row>
    <row r="55" spans="1:9" x14ac:dyDescent="0.3">
      <c r="A55" t="s">
        <v>78</v>
      </c>
      <c r="B55" t="s">
        <v>54</v>
      </c>
      <c r="C55" s="1">
        <v>44743</v>
      </c>
      <c r="D55" t="s">
        <v>62</v>
      </c>
      <c r="E55" t="s">
        <v>67</v>
      </c>
      <c r="F55">
        <v>130</v>
      </c>
      <c r="G55" t="s">
        <v>1</v>
      </c>
      <c r="H55" s="2">
        <v>3</v>
      </c>
      <c r="I55" s="16">
        <v>3.138956050307417E-2</v>
      </c>
    </row>
    <row r="56" spans="1:9" x14ac:dyDescent="0.3">
      <c r="A56" t="s">
        <v>79</v>
      </c>
      <c r="B56" t="s">
        <v>55</v>
      </c>
      <c r="C56" s="1">
        <v>44737</v>
      </c>
      <c r="D56" t="s">
        <v>63</v>
      </c>
      <c r="E56" t="s">
        <v>66</v>
      </c>
      <c r="F56">
        <v>60</v>
      </c>
      <c r="G56" t="s">
        <v>2</v>
      </c>
      <c r="H56" s="2">
        <v>13</v>
      </c>
      <c r="I56" s="16">
        <v>0.23798278495106248</v>
      </c>
    </row>
    <row r="57" spans="1:9" x14ac:dyDescent="0.3">
      <c r="A57" t="s">
        <v>80</v>
      </c>
      <c r="B57" t="s">
        <v>51</v>
      </c>
      <c r="C57" s="1">
        <v>44757</v>
      </c>
      <c r="D57" t="s">
        <v>59</v>
      </c>
      <c r="E57" t="s">
        <v>67</v>
      </c>
      <c r="F57">
        <v>72</v>
      </c>
      <c r="G57" t="s">
        <v>0</v>
      </c>
      <c r="H57" s="2">
        <v>5</v>
      </c>
      <c r="I57" s="16">
        <v>0.19712344024473996</v>
      </c>
    </row>
    <row r="58" spans="1:9" x14ac:dyDescent="0.3">
      <c r="A58" t="s">
        <v>81</v>
      </c>
      <c r="B58" t="s">
        <v>52</v>
      </c>
      <c r="C58" s="1">
        <v>44745</v>
      </c>
      <c r="D58" t="s">
        <v>60</v>
      </c>
      <c r="E58" t="s">
        <v>66</v>
      </c>
      <c r="F58">
        <v>65</v>
      </c>
      <c r="G58" t="s">
        <v>1</v>
      </c>
      <c r="H58" s="2">
        <v>7</v>
      </c>
      <c r="I58" s="16">
        <v>6.8295799738434873E-2</v>
      </c>
    </row>
    <row r="59" spans="1:9" x14ac:dyDescent="0.3">
      <c r="A59" t="s">
        <v>82</v>
      </c>
      <c r="B59" t="s">
        <v>53</v>
      </c>
      <c r="C59" s="1">
        <v>44760</v>
      </c>
      <c r="D59" t="s">
        <v>61</v>
      </c>
      <c r="E59" t="s">
        <v>67</v>
      </c>
      <c r="F59">
        <v>250</v>
      </c>
      <c r="G59" t="s">
        <v>2</v>
      </c>
      <c r="H59" s="2">
        <v>3</v>
      </c>
      <c r="I59" s="16">
        <v>1.6828522965904168E-2</v>
      </c>
    </row>
    <row r="60" spans="1:9" x14ac:dyDescent="0.3">
      <c r="A60" t="s">
        <v>83</v>
      </c>
      <c r="B60" t="s">
        <v>54</v>
      </c>
      <c r="C60" s="1">
        <v>44750</v>
      </c>
      <c r="D60" t="s">
        <v>62</v>
      </c>
      <c r="E60" t="s">
        <v>66</v>
      </c>
      <c r="F60">
        <v>130</v>
      </c>
      <c r="G60" t="s">
        <v>0</v>
      </c>
      <c r="H60" s="2">
        <v>6</v>
      </c>
      <c r="I60" s="16">
        <v>0.26661284065553453</v>
      </c>
    </row>
    <row r="61" spans="1:9" x14ac:dyDescent="0.3">
      <c r="A61" t="s">
        <v>84</v>
      </c>
      <c r="B61" t="s">
        <v>51</v>
      </c>
      <c r="C61" s="1">
        <v>44742</v>
      </c>
      <c r="D61" t="s">
        <v>59</v>
      </c>
      <c r="E61" t="s">
        <v>67</v>
      </c>
      <c r="F61">
        <v>72</v>
      </c>
      <c r="G61" t="s">
        <v>1</v>
      </c>
      <c r="H61" s="2">
        <v>11</v>
      </c>
      <c r="I61" s="16">
        <v>0.21251347110701568</v>
      </c>
    </row>
    <row r="62" spans="1:9" x14ac:dyDescent="0.3">
      <c r="A62" t="s">
        <v>85</v>
      </c>
      <c r="B62" t="s">
        <v>52</v>
      </c>
      <c r="C62" s="1">
        <v>44754</v>
      </c>
      <c r="D62" t="s">
        <v>60</v>
      </c>
      <c r="E62" t="s">
        <v>66</v>
      </c>
      <c r="F62">
        <v>65</v>
      </c>
      <c r="G62" t="s">
        <v>2</v>
      </c>
      <c r="H62" s="2">
        <v>12</v>
      </c>
      <c r="I62" s="16">
        <v>0.10994257661413849</v>
      </c>
    </row>
    <row r="63" spans="1:9" x14ac:dyDescent="0.3">
      <c r="A63" t="s">
        <v>86</v>
      </c>
      <c r="B63" t="s">
        <v>53</v>
      </c>
      <c r="C63" s="1">
        <v>44746</v>
      </c>
      <c r="D63" t="s">
        <v>61</v>
      </c>
      <c r="E63" t="s">
        <v>67</v>
      </c>
      <c r="F63">
        <v>250</v>
      </c>
      <c r="G63" t="s">
        <v>0</v>
      </c>
      <c r="H63" s="2">
        <v>2</v>
      </c>
      <c r="I63" s="16">
        <v>0.53607498908607099</v>
      </c>
    </row>
    <row r="64" spans="1:9" x14ac:dyDescent="0.3">
      <c r="A64" t="s">
        <v>87</v>
      </c>
      <c r="B64" t="s">
        <v>54</v>
      </c>
      <c r="C64" s="1">
        <v>44752</v>
      </c>
      <c r="D64" t="s">
        <v>62</v>
      </c>
      <c r="E64" t="s">
        <v>66</v>
      </c>
      <c r="F64">
        <v>130</v>
      </c>
      <c r="G64" t="s">
        <v>1</v>
      </c>
      <c r="H64" s="2">
        <v>6</v>
      </c>
      <c r="I64" s="16">
        <v>3.7515550327758003E-2</v>
      </c>
    </row>
    <row r="65" spans="1:9" x14ac:dyDescent="0.3">
      <c r="A65" t="s">
        <v>88</v>
      </c>
      <c r="B65" t="s">
        <v>55</v>
      </c>
      <c r="C65" s="1">
        <v>44725</v>
      </c>
      <c r="D65" t="s">
        <v>63</v>
      </c>
      <c r="E65" t="s">
        <v>66</v>
      </c>
      <c r="F65">
        <v>60</v>
      </c>
      <c r="G65" t="s">
        <v>2</v>
      </c>
      <c r="H65" s="2">
        <v>15</v>
      </c>
      <c r="I65" s="16">
        <v>2.4938289886663061E-2</v>
      </c>
    </row>
    <row r="66" spans="1:9" x14ac:dyDescent="0.3">
      <c r="A66" t="s">
        <v>89</v>
      </c>
      <c r="B66" t="s">
        <v>56</v>
      </c>
      <c r="C66" s="1">
        <v>44734</v>
      </c>
      <c r="D66" t="s">
        <v>64</v>
      </c>
      <c r="E66" t="s">
        <v>67</v>
      </c>
      <c r="F66">
        <v>95</v>
      </c>
      <c r="G66" t="s">
        <v>0</v>
      </c>
      <c r="H66" s="2">
        <v>9</v>
      </c>
      <c r="I66" s="16">
        <v>1.0123391970414241E-2</v>
      </c>
    </row>
    <row r="67" spans="1:9" x14ac:dyDescent="0.3">
      <c r="A67" t="s">
        <v>90</v>
      </c>
      <c r="B67" t="s">
        <v>51</v>
      </c>
      <c r="C67" s="1">
        <v>44761</v>
      </c>
      <c r="D67" t="s">
        <v>59</v>
      </c>
      <c r="E67" t="s">
        <v>67</v>
      </c>
      <c r="F67">
        <v>72</v>
      </c>
      <c r="G67" t="s">
        <v>1</v>
      </c>
      <c r="H67" s="2">
        <v>12</v>
      </c>
      <c r="I67" s="16">
        <v>0.1308869366379137</v>
      </c>
    </row>
    <row r="68" spans="1:9" x14ac:dyDescent="0.3">
      <c r="A68" t="s">
        <v>91</v>
      </c>
      <c r="B68" t="s">
        <v>52</v>
      </c>
      <c r="C68" s="1">
        <v>44735</v>
      </c>
      <c r="D68" t="s">
        <v>60</v>
      </c>
      <c r="E68" t="s">
        <v>67</v>
      </c>
      <c r="F68">
        <v>65</v>
      </c>
      <c r="G68" t="s">
        <v>2</v>
      </c>
      <c r="H68" s="2">
        <v>7</v>
      </c>
      <c r="I68" s="16">
        <v>6.6961969492996459E-2</v>
      </c>
    </row>
    <row r="69" spans="1:9" x14ac:dyDescent="0.3">
      <c r="A69" t="s">
        <v>92</v>
      </c>
      <c r="B69" t="s">
        <v>53</v>
      </c>
      <c r="C69" s="1">
        <v>44753</v>
      </c>
      <c r="D69" t="s">
        <v>61</v>
      </c>
      <c r="E69" t="s">
        <v>66</v>
      </c>
      <c r="F69">
        <v>250</v>
      </c>
      <c r="G69" t="s">
        <v>0</v>
      </c>
      <c r="H69" s="2">
        <v>3</v>
      </c>
      <c r="I69" s="16">
        <v>0.36350761794645753</v>
      </c>
    </row>
    <row r="70" spans="1:9" x14ac:dyDescent="0.3">
      <c r="A70" t="s">
        <v>93</v>
      </c>
      <c r="B70" t="s">
        <v>54</v>
      </c>
      <c r="C70" s="1">
        <v>44732</v>
      </c>
      <c r="D70" t="s">
        <v>62</v>
      </c>
      <c r="E70" t="s">
        <v>66</v>
      </c>
      <c r="F70">
        <v>130</v>
      </c>
      <c r="G70" t="s">
        <v>1</v>
      </c>
      <c r="H70" s="2">
        <v>6</v>
      </c>
      <c r="I70" s="16">
        <v>0.30841415491993102</v>
      </c>
    </row>
    <row r="71" spans="1:9" x14ac:dyDescent="0.3">
      <c r="A71" t="s">
        <v>94</v>
      </c>
      <c r="B71" t="s">
        <v>51</v>
      </c>
      <c r="C71" s="1">
        <v>44748</v>
      </c>
      <c r="D71" t="s">
        <v>59</v>
      </c>
      <c r="E71" t="s">
        <v>66</v>
      </c>
      <c r="F71">
        <v>72</v>
      </c>
      <c r="G71" t="s">
        <v>2</v>
      </c>
      <c r="H71" s="2">
        <v>9</v>
      </c>
      <c r="I71" s="16">
        <v>0.21287301321989574</v>
      </c>
    </row>
    <row r="72" spans="1:9" x14ac:dyDescent="0.3">
      <c r="A72" t="s">
        <v>95</v>
      </c>
      <c r="B72" t="s">
        <v>52</v>
      </c>
      <c r="C72" s="1">
        <v>44731</v>
      </c>
      <c r="D72" t="s">
        <v>60</v>
      </c>
      <c r="E72" t="s">
        <v>66</v>
      </c>
      <c r="F72">
        <v>65</v>
      </c>
      <c r="G72" t="s">
        <v>0</v>
      </c>
      <c r="H72" s="2">
        <v>4</v>
      </c>
      <c r="I72" s="16">
        <v>0.11047742601795077</v>
      </c>
    </row>
    <row r="73" spans="1:9" x14ac:dyDescent="0.3">
      <c r="A73" t="s">
        <v>96</v>
      </c>
      <c r="B73" t="s">
        <v>53</v>
      </c>
      <c r="C73" s="1">
        <v>44725</v>
      </c>
      <c r="D73" t="s">
        <v>61</v>
      </c>
      <c r="E73" t="s">
        <v>66</v>
      </c>
      <c r="F73">
        <v>250</v>
      </c>
      <c r="G73" t="s">
        <v>1</v>
      </c>
      <c r="H73" s="2">
        <v>2</v>
      </c>
      <c r="I73" s="16">
        <v>4.8799156151631218E-2</v>
      </c>
    </row>
    <row r="74" spans="1:9" x14ac:dyDescent="0.3">
      <c r="A74" t="s">
        <v>97</v>
      </c>
      <c r="B74" t="s">
        <v>54</v>
      </c>
      <c r="C74" s="1">
        <v>44753</v>
      </c>
      <c r="D74" t="s">
        <v>62</v>
      </c>
      <c r="E74" t="s">
        <v>66</v>
      </c>
      <c r="F74">
        <v>130</v>
      </c>
      <c r="G74" t="s">
        <v>2</v>
      </c>
      <c r="H74" s="2">
        <v>6</v>
      </c>
      <c r="I74" s="16">
        <v>0.27879506176921365</v>
      </c>
    </row>
    <row r="75" spans="1:9" x14ac:dyDescent="0.3">
      <c r="A75" t="s">
        <v>98</v>
      </c>
      <c r="B75" t="s">
        <v>55</v>
      </c>
      <c r="C75" s="1">
        <v>44738</v>
      </c>
      <c r="D75" t="s">
        <v>63</v>
      </c>
      <c r="E75" t="s">
        <v>66</v>
      </c>
      <c r="F75">
        <v>60</v>
      </c>
      <c r="G75" t="s">
        <v>0</v>
      </c>
      <c r="H75" s="2">
        <v>9</v>
      </c>
      <c r="I75" s="16">
        <v>7.6045534046593019E-2</v>
      </c>
    </row>
    <row r="76" spans="1:9" x14ac:dyDescent="0.3">
      <c r="A76" t="s">
        <v>99</v>
      </c>
      <c r="B76" t="s">
        <v>51</v>
      </c>
      <c r="C76" s="1">
        <v>44762</v>
      </c>
      <c r="D76" t="s">
        <v>59</v>
      </c>
      <c r="E76" t="s">
        <v>66</v>
      </c>
      <c r="F76">
        <v>72</v>
      </c>
      <c r="G76" t="s">
        <v>1</v>
      </c>
      <c r="H76" s="2">
        <v>11</v>
      </c>
      <c r="I76" s="16">
        <v>0.12055762754740325</v>
      </c>
    </row>
    <row r="77" spans="1:9" x14ac:dyDescent="0.3">
      <c r="A77" t="s">
        <v>100</v>
      </c>
      <c r="B77" t="s">
        <v>52</v>
      </c>
      <c r="C77" s="1">
        <v>44756</v>
      </c>
      <c r="D77" t="s">
        <v>60</v>
      </c>
      <c r="E77" t="s">
        <v>66</v>
      </c>
      <c r="F77">
        <v>65</v>
      </c>
      <c r="G77" t="s">
        <v>2</v>
      </c>
      <c r="H77" s="2">
        <v>13</v>
      </c>
      <c r="I77" s="16">
        <v>0.30283946337780637</v>
      </c>
    </row>
    <row r="78" spans="1:9" x14ac:dyDescent="0.3">
      <c r="A78" t="s">
        <v>101</v>
      </c>
      <c r="B78" t="s">
        <v>53</v>
      </c>
      <c r="C78" s="1">
        <v>44744</v>
      </c>
      <c r="D78" t="s">
        <v>61</v>
      </c>
      <c r="E78" t="s">
        <v>67</v>
      </c>
      <c r="F78">
        <v>250</v>
      </c>
      <c r="G78" t="s">
        <v>0</v>
      </c>
      <c r="H78" s="2">
        <v>2</v>
      </c>
      <c r="I78" s="16">
        <v>0.41401829873258272</v>
      </c>
    </row>
    <row r="79" spans="1:9" x14ac:dyDescent="0.3">
      <c r="A79" t="s">
        <v>102</v>
      </c>
      <c r="B79" t="s">
        <v>54</v>
      </c>
      <c r="C79" s="1">
        <v>44753</v>
      </c>
      <c r="D79" t="s">
        <v>62</v>
      </c>
      <c r="E79" t="s">
        <v>66</v>
      </c>
      <c r="F79">
        <v>130</v>
      </c>
      <c r="G79" t="s">
        <v>1</v>
      </c>
      <c r="H79" s="2">
        <v>6</v>
      </c>
      <c r="I79" s="16">
        <v>6.1603660271292333E-3</v>
      </c>
    </row>
    <row r="80" spans="1:9" x14ac:dyDescent="0.3">
      <c r="A80" t="s">
        <v>103</v>
      </c>
      <c r="B80" t="s">
        <v>51</v>
      </c>
      <c r="C80" s="1">
        <v>44762</v>
      </c>
      <c r="D80" t="s">
        <v>59</v>
      </c>
      <c r="E80" t="s">
        <v>66</v>
      </c>
      <c r="F80">
        <v>72</v>
      </c>
      <c r="G80" t="s">
        <v>2</v>
      </c>
      <c r="H80" s="2">
        <v>12</v>
      </c>
      <c r="I80" s="16">
        <v>0.10495963672233184</v>
      </c>
    </row>
    <row r="81" spans="1:9" x14ac:dyDescent="0.3">
      <c r="A81" t="s">
        <v>104</v>
      </c>
      <c r="B81" t="s">
        <v>52</v>
      </c>
      <c r="C81" s="1">
        <v>44740</v>
      </c>
      <c r="D81" t="s">
        <v>60</v>
      </c>
      <c r="E81" t="s">
        <v>66</v>
      </c>
      <c r="F81">
        <v>65</v>
      </c>
      <c r="G81" t="s">
        <v>0</v>
      </c>
      <c r="H81" s="2">
        <v>11</v>
      </c>
      <c r="I81" s="16">
        <v>0.29377273906475571</v>
      </c>
    </row>
    <row r="82" spans="1:9" x14ac:dyDescent="0.3">
      <c r="A82" t="s">
        <v>105</v>
      </c>
      <c r="B82" t="s">
        <v>53</v>
      </c>
      <c r="C82" s="1">
        <v>44729</v>
      </c>
      <c r="D82" t="s">
        <v>61</v>
      </c>
      <c r="E82" t="s">
        <v>66</v>
      </c>
      <c r="F82">
        <v>250</v>
      </c>
      <c r="G82" t="s">
        <v>1</v>
      </c>
      <c r="H82" s="2">
        <v>3</v>
      </c>
      <c r="I82" s="16">
        <v>0.56559810101924179</v>
      </c>
    </row>
    <row r="83" spans="1:9" x14ac:dyDescent="0.3">
      <c r="A83" t="s">
        <v>106</v>
      </c>
      <c r="B83" t="s">
        <v>54</v>
      </c>
      <c r="C83" s="1">
        <v>44727</v>
      </c>
      <c r="D83" t="s">
        <v>62</v>
      </c>
      <c r="E83" t="s">
        <v>66</v>
      </c>
      <c r="F83">
        <v>130</v>
      </c>
      <c r="G83" t="s">
        <v>2</v>
      </c>
      <c r="H83" s="2">
        <v>4</v>
      </c>
      <c r="I83" s="16">
        <v>0.14180367825735268</v>
      </c>
    </row>
    <row r="84" spans="1:9" x14ac:dyDescent="0.3">
      <c r="A84" t="s">
        <v>107</v>
      </c>
      <c r="B84" t="s">
        <v>55</v>
      </c>
      <c r="C84" s="1">
        <v>44734</v>
      </c>
      <c r="D84" t="s">
        <v>63</v>
      </c>
      <c r="E84" t="s">
        <v>67</v>
      </c>
      <c r="F84">
        <v>60</v>
      </c>
      <c r="G84" t="s">
        <v>0</v>
      </c>
      <c r="H84" s="2">
        <v>14</v>
      </c>
      <c r="I84" s="16">
        <v>0.19727585407121537</v>
      </c>
    </row>
    <row r="85" spans="1:9" x14ac:dyDescent="0.3">
      <c r="A85" t="s">
        <v>108</v>
      </c>
      <c r="B85" t="s">
        <v>56</v>
      </c>
      <c r="C85" s="1">
        <v>44744</v>
      </c>
      <c r="D85" t="s">
        <v>64</v>
      </c>
      <c r="E85" t="s">
        <v>66</v>
      </c>
      <c r="F85">
        <v>95</v>
      </c>
      <c r="G85" t="s">
        <v>1</v>
      </c>
      <c r="H85" s="2">
        <v>2</v>
      </c>
      <c r="I85" s="16">
        <v>0.16026707373910823</v>
      </c>
    </row>
    <row r="86" spans="1:9" x14ac:dyDescent="0.3">
      <c r="A86" t="s">
        <v>109</v>
      </c>
      <c r="B86" t="s">
        <v>51</v>
      </c>
      <c r="C86" s="1">
        <v>44737</v>
      </c>
      <c r="D86" t="s">
        <v>59</v>
      </c>
      <c r="E86" t="s">
        <v>66</v>
      </c>
      <c r="F86">
        <v>72</v>
      </c>
      <c r="G86" t="s">
        <v>2</v>
      </c>
      <c r="H86" s="2">
        <v>4</v>
      </c>
      <c r="I86" s="16">
        <v>3.6754234817017679E-2</v>
      </c>
    </row>
    <row r="87" spans="1:9" x14ac:dyDescent="0.3">
      <c r="A87" t="s">
        <v>110</v>
      </c>
      <c r="B87" t="s">
        <v>52</v>
      </c>
      <c r="C87" s="1">
        <v>44752</v>
      </c>
      <c r="D87" t="s">
        <v>60</v>
      </c>
      <c r="E87" t="s">
        <v>66</v>
      </c>
      <c r="F87">
        <v>65</v>
      </c>
      <c r="G87" t="s">
        <v>0</v>
      </c>
      <c r="H87" s="2">
        <v>6</v>
      </c>
      <c r="I87" s="16">
        <v>0.12047427034169578</v>
      </c>
    </row>
    <row r="88" spans="1:9" x14ac:dyDescent="0.3">
      <c r="A88" t="s">
        <v>111</v>
      </c>
      <c r="B88" t="s">
        <v>53</v>
      </c>
      <c r="C88" s="1">
        <v>44736</v>
      </c>
      <c r="D88" t="s">
        <v>61</v>
      </c>
      <c r="E88" t="s">
        <v>67</v>
      </c>
      <c r="F88">
        <v>250</v>
      </c>
      <c r="G88" t="s">
        <v>1</v>
      </c>
      <c r="H88" s="2">
        <v>2</v>
      </c>
      <c r="I88" s="16">
        <v>0.38636401364592987</v>
      </c>
    </row>
    <row r="89" spans="1:9" x14ac:dyDescent="0.3">
      <c r="A89" t="s">
        <v>112</v>
      </c>
      <c r="B89" t="s">
        <v>54</v>
      </c>
      <c r="C89" s="1">
        <v>44752</v>
      </c>
      <c r="D89" t="s">
        <v>62</v>
      </c>
      <c r="E89" t="s">
        <v>67</v>
      </c>
      <c r="F89">
        <v>130</v>
      </c>
      <c r="G89" t="s">
        <v>2</v>
      </c>
      <c r="H89" s="2">
        <v>5</v>
      </c>
      <c r="I89" s="16">
        <v>0.25111930985495906</v>
      </c>
    </row>
    <row r="90" spans="1:9" x14ac:dyDescent="0.3">
      <c r="A90" t="s">
        <v>113</v>
      </c>
      <c r="B90" t="s">
        <v>51</v>
      </c>
      <c r="C90" s="1">
        <v>44759</v>
      </c>
      <c r="D90" t="s">
        <v>59</v>
      </c>
      <c r="E90" t="s">
        <v>67</v>
      </c>
      <c r="F90">
        <v>72</v>
      </c>
      <c r="G90" t="s">
        <v>0</v>
      </c>
      <c r="H90" s="2">
        <v>6</v>
      </c>
      <c r="I90" s="16">
        <v>0.18099169049889144</v>
      </c>
    </row>
    <row r="91" spans="1:9" x14ac:dyDescent="0.3">
      <c r="A91" t="s">
        <v>114</v>
      </c>
      <c r="B91" t="s">
        <v>52</v>
      </c>
      <c r="C91" s="1">
        <v>44763</v>
      </c>
      <c r="D91" t="s">
        <v>60</v>
      </c>
      <c r="E91" t="s">
        <v>67</v>
      </c>
      <c r="F91">
        <v>65</v>
      </c>
      <c r="G91" t="s">
        <v>1</v>
      </c>
      <c r="H91" s="2">
        <v>6</v>
      </c>
      <c r="I91" s="16">
        <v>0.17363786365000505</v>
      </c>
    </row>
    <row r="92" spans="1:9" x14ac:dyDescent="0.3">
      <c r="A92" t="s">
        <v>115</v>
      </c>
      <c r="B92" t="s">
        <v>53</v>
      </c>
      <c r="C92" s="1">
        <v>44763</v>
      </c>
      <c r="D92" t="s">
        <v>61</v>
      </c>
      <c r="E92" t="s">
        <v>67</v>
      </c>
      <c r="F92">
        <v>250</v>
      </c>
      <c r="G92" t="s">
        <v>2</v>
      </c>
      <c r="H92" s="2">
        <v>3</v>
      </c>
      <c r="I92" s="16">
        <v>0.75489814137474298</v>
      </c>
    </row>
    <row r="93" spans="1:9" x14ac:dyDescent="0.3">
      <c r="A93" t="s">
        <v>116</v>
      </c>
      <c r="B93" t="s">
        <v>54</v>
      </c>
      <c r="C93" s="1">
        <v>44750</v>
      </c>
      <c r="D93" t="s">
        <v>62</v>
      </c>
      <c r="E93" t="s">
        <v>67</v>
      </c>
      <c r="F93">
        <v>130</v>
      </c>
      <c r="G93" t="s">
        <v>0</v>
      </c>
      <c r="H93" s="2">
        <v>4</v>
      </c>
      <c r="I93" s="16">
        <v>0.41826226246410803</v>
      </c>
    </row>
    <row r="94" spans="1:9" x14ac:dyDescent="0.3">
      <c r="A94" t="s">
        <v>117</v>
      </c>
      <c r="B94" t="s">
        <v>51</v>
      </c>
      <c r="C94" s="1">
        <v>44751</v>
      </c>
      <c r="D94" t="s">
        <v>59</v>
      </c>
      <c r="E94" t="s">
        <v>66</v>
      </c>
      <c r="F94">
        <v>72</v>
      </c>
      <c r="G94" t="s">
        <v>0</v>
      </c>
      <c r="H94" s="2">
        <v>11</v>
      </c>
      <c r="I94" s="16">
        <v>0.52183512590850833</v>
      </c>
    </row>
    <row r="95" spans="1:9" x14ac:dyDescent="0.3">
      <c r="A95" t="s">
        <v>118</v>
      </c>
      <c r="B95" t="s">
        <v>52</v>
      </c>
      <c r="C95" s="1">
        <v>44736</v>
      </c>
      <c r="D95" t="s">
        <v>60</v>
      </c>
      <c r="E95" t="s">
        <v>67</v>
      </c>
      <c r="F95">
        <v>65</v>
      </c>
      <c r="G95" t="s">
        <v>1</v>
      </c>
      <c r="H95" s="2">
        <v>12</v>
      </c>
      <c r="I95" s="16">
        <v>0.4407264983607897</v>
      </c>
    </row>
    <row r="96" spans="1:9" x14ac:dyDescent="0.3">
      <c r="A96" t="s">
        <v>119</v>
      </c>
      <c r="B96" t="s">
        <v>53</v>
      </c>
      <c r="C96" s="1">
        <v>44737</v>
      </c>
      <c r="D96" t="s">
        <v>61</v>
      </c>
      <c r="E96" t="s">
        <v>66</v>
      </c>
      <c r="F96">
        <v>250</v>
      </c>
      <c r="G96" t="s">
        <v>2</v>
      </c>
      <c r="H96" s="2">
        <v>3</v>
      </c>
      <c r="I96" s="16">
        <v>0.30123769132028422</v>
      </c>
    </row>
    <row r="97" spans="1:9" x14ac:dyDescent="0.3">
      <c r="A97" t="s">
        <v>120</v>
      </c>
      <c r="B97" t="s">
        <v>54</v>
      </c>
      <c r="C97" s="1">
        <v>44744</v>
      </c>
      <c r="D97" t="s">
        <v>62</v>
      </c>
      <c r="E97" t="s">
        <v>67</v>
      </c>
      <c r="F97">
        <v>130</v>
      </c>
      <c r="G97" t="s">
        <v>0</v>
      </c>
      <c r="H97" s="2">
        <v>4</v>
      </c>
      <c r="I97" s="16">
        <v>0.42020557863905661</v>
      </c>
    </row>
    <row r="98" spans="1:9" x14ac:dyDescent="0.3">
      <c r="A98" t="s">
        <v>121</v>
      </c>
      <c r="B98" t="s">
        <v>51</v>
      </c>
      <c r="C98" s="1">
        <v>44735</v>
      </c>
      <c r="D98" t="s">
        <v>59</v>
      </c>
      <c r="E98" t="s">
        <v>66</v>
      </c>
      <c r="F98">
        <v>72</v>
      </c>
      <c r="G98" t="s">
        <v>1</v>
      </c>
      <c r="H98" s="2">
        <v>10</v>
      </c>
      <c r="I98" s="16">
        <v>0.38179966249899233</v>
      </c>
    </row>
    <row r="99" spans="1:9" x14ac:dyDescent="0.3">
      <c r="A99" t="s">
        <v>122</v>
      </c>
      <c r="B99" t="s">
        <v>52</v>
      </c>
      <c r="C99" s="1">
        <v>44751</v>
      </c>
      <c r="D99" t="s">
        <v>60</v>
      </c>
      <c r="E99" t="s">
        <v>67</v>
      </c>
      <c r="F99">
        <v>65</v>
      </c>
      <c r="G99" t="s">
        <v>2</v>
      </c>
      <c r="H99" s="2">
        <v>5</v>
      </c>
      <c r="I99" s="16">
        <v>4.8435914836800764E-3</v>
      </c>
    </row>
    <row r="100" spans="1:9" x14ac:dyDescent="0.3">
      <c r="A100" t="s">
        <v>123</v>
      </c>
      <c r="B100" t="s">
        <v>53</v>
      </c>
      <c r="C100" s="1">
        <v>44726</v>
      </c>
      <c r="D100" t="s">
        <v>61</v>
      </c>
      <c r="E100" t="s">
        <v>66</v>
      </c>
      <c r="F100">
        <v>250</v>
      </c>
      <c r="G100" t="s">
        <v>0</v>
      </c>
      <c r="H100" s="2">
        <v>2</v>
      </c>
      <c r="I100" s="16">
        <v>0.63857584714373206</v>
      </c>
    </row>
    <row r="101" spans="1:9" x14ac:dyDescent="0.3">
      <c r="A101" t="s">
        <v>124</v>
      </c>
      <c r="B101" t="s">
        <v>54</v>
      </c>
      <c r="C101" s="1">
        <v>44749</v>
      </c>
      <c r="D101" t="s">
        <v>62</v>
      </c>
      <c r="E101" t="s">
        <v>67</v>
      </c>
      <c r="F101">
        <v>130</v>
      </c>
      <c r="G101" t="s">
        <v>1</v>
      </c>
      <c r="H101" s="2">
        <v>7</v>
      </c>
      <c r="I101" s="16">
        <v>0.92544771931561698</v>
      </c>
    </row>
    <row r="102" spans="1:9" x14ac:dyDescent="0.3">
      <c r="A102" t="s">
        <v>125</v>
      </c>
      <c r="B102" t="s">
        <v>55</v>
      </c>
      <c r="C102" s="1">
        <v>44734</v>
      </c>
      <c r="D102" t="s">
        <v>63</v>
      </c>
      <c r="E102" t="s">
        <v>66</v>
      </c>
      <c r="F102">
        <v>60</v>
      </c>
      <c r="G102" t="s">
        <v>2</v>
      </c>
      <c r="H102" s="2">
        <v>10</v>
      </c>
      <c r="I102" s="16">
        <v>4.9069353138029403E-2</v>
      </c>
    </row>
    <row r="103" spans="1:9" x14ac:dyDescent="0.3">
      <c r="A103" t="s">
        <v>126</v>
      </c>
      <c r="B103" t="s">
        <v>51</v>
      </c>
      <c r="C103" s="1">
        <v>44726</v>
      </c>
      <c r="D103" t="s">
        <v>59</v>
      </c>
      <c r="E103" t="s">
        <v>67</v>
      </c>
      <c r="F103">
        <v>72</v>
      </c>
      <c r="G103" t="s">
        <v>0</v>
      </c>
      <c r="H103" s="2">
        <v>11</v>
      </c>
      <c r="I103" s="16">
        <v>0.7875779554918797</v>
      </c>
    </row>
    <row r="104" spans="1:9" x14ac:dyDescent="0.3">
      <c r="A104" t="s">
        <v>127</v>
      </c>
      <c r="B104" t="s">
        <v>52</v>
      </c>
      <c r="C104" s="1">
        <v>44743</v>
      </c>
      <c r="D104" t="s">
        <v>60</v>
      </c>
      <c r="E104" t="s">
        <v>66</v>
      </c>
      <c r="F104">
        <v>65</v>
      </c>
      <c r="G104" t="s">
        <v>1</v>
      </c>
      <c r="H104" s="2">
        <v>13</v>
      </c>
      <c r="I104" s="16">
        <v>0.4468603878067412</v>
      </c>
    </row>
    <row r="105" spans="1:9" x14ac:dyDescent="0.3">
      <c r="A105" t="s">
        <v>128</v>
      </c>
      <c r="B105" t="s">
        <v>53</v>
      </c>
      <c r="C105" s="1">
        <v>44742</v>
      </c>
      <c r="D105" t="s">
        <v>61</v>
      </c>
      <c r="E105" t="s">
        <v>67</v>
      </c>
      <c r="F105">
        <v>250</v>
      </c>
      <c r="G105" t="s">
        <v>2</v>
      </c>
      <c r="H105" s="2">
        <v>2</v>
      </c>
      <c r="I105" s="16">
        <v>0.89674363393446022</v>
      </c>
    </row>
    <row r="106" spans="1:9" x14ac:dyDescent="0.3">
      <c r="A106" t="s">
        <v>129</v>
      </c>
      <c r="B106" t="s">
        <v>54</v>
      </c>
      <c r="C106" s="1">
        <v>44747</v>
      </c>
      <c r="D106" t="s">
        <v>62</v>
      </c>
      <c r="E106" t="s">
        <v>66</v>
      </c>
      <c r="F106">
        <v>130</v>
      </c>
      <c r="G106" t="s">
        <v>0</v>
      </c>
      <c r="H106" s="2">
        <v>6</v>
      </c>
      <c r="I106" s="16">
        <v>3.2373342558606799E-2</v>
      </c>
    </row>
    <row r="107" spans="1:9" x14ac:dyDescent="0.3">
      <c r="A107" t="s">
        <v>130</v>
      </c>
      <c r="B107" t="s">
        <v>51</v>
      </c>
      <c r="C107" s="1">
        <v>44764</v>
      </c>
      <c r="D107" t="s">
        <v>59</v>
      </c>
      <c r="E107" t="s">
        <v>67</v>
      </c>
      <c r="F107">
        <v>72</v>
      </c>
      <c r="G107" t="s">
        <v>1</v>
      </c>
      <c r="H107" s="2">
        <v>11</v>
      </c>
      <c r="I107" s="16">
        <v>0.94247200152138155</v>
      </c>
    </row>
    <row r="108" spans="1:9" x14ac:dyDescent="0.3">
      <c r="A108" t="s">
        <v>131</v>
      </c>
      <c r="B108" t="s">
        <v>52</v>
      </c>
      <c r="C108" s="1">
        <v>44735</v>
      </c>
      <c r="D108" t="s">
        <v>60</v>
      </c>
      <c r="E108" t="s">
        <v>66</v>
      </c>
      <c r="F108">
        <v>65</v>
      </c>
      <c r="G108" t="s">
        <v>2</v>
      </c>
      <c r="H108" s="2">
        <v>7</v>
      </c>
      <c r="I108" s="16">
        <v>0.24863680679080546</v>
      </c>
    </row>
    <row r="109" spans="1:9" x14ac:dyDescent="0.3">
      <c r="A109" t="s">
        <v>132</v>
      </c>
      <c r="B109" t="s">
        <v>53</v>
      </c>
      <c r="C109" s="1">
        <v>44737</v>
      </c>
      <c r="D109" t="s">
        <v>61</v>
      </c>
      <c r="E109" t="s">
        <v>67</v>
      </c>
      <c r="F109">
        <v>250</v>
      </c>
      <c r="G109" t="s">
        <v>0</v>
      </c>
      <c r="H109" s="2">
        <v>1</v>
      </c>
      <c r="I109" s="16">
        <v>4.9896521056402299E-2</v>
      </c>
    </row>
    <row r="110" spans="1:9" x14ac:dyDescent="0.3">
      <c r="A110" t="s">
        <v>133</v>
      </c>
      <c r="B110" t="s">
        <v>54</v>
      </c>
      <c r="C110" s="1">
        <v>44749</v>
      </c>
      <c r="D110" t="s">
        <v>62</v>
      </c>
      <c r="E110" t="s">
        <v>66</v>
      </c>
      <c r="F110">
        <v>130</v>
      </c>
      <c r="G110" t="s">
        <v>1</v>
      </c>
      <c r="H110" s="2">
        <v>7</v>
      </c>
      <c r="I110" s="16">
        <v>0.49618340188276622</v>
      </c>
    </row>
    <row r="111" spans="1:9" x14ac:dyDescent="0.3">
      <c r="A111" t="s">
        <v>134</v>
      </c>
      <c r="B111" t="s">
        <v>55</v>
      </c>
      <c r="C111" s="1">
        <v>44729</v>
      </c>
      <c r="D111" t="s">
        <v>63</v>
      </c>
      <c r="E111" t="s">
        <v>66</v>
      </c>
      <c r="F111">
        <v>60</v>
      </c>
      <c r="G111" t="s">
        <v>2</v>
      </c>
      <c r="H111" s="2">
        <v>13</v>
      </c>
      <c r="I111" s="16">
        <v>0.62889621592411693</v>
      </c>
    </row>
    <row r="112" spans="1:9" x14ac:dyDescent="0.3">
      <c r="A112" t="s">
        <v>135</v>
      </c>
      <c r="B112" t="s">
        <v>56</v>
      </c>
      <c r="C112" s="1">
        <v>44738</v>
      </c>
      <c r="D112" t="s">
        <v>64</v>
      </c>
      <c r="E112" t="s">
        <v>67</v>
      </c>
      <c r="F112">
        <v>95</v>
      </c>
      <c r="G112" t="s">
        <v>0</v>
      </c>
      <c r="H112" s="2">
        <v>8</v>
      </c>
      <c r="I112" s="16">
        <v>0.87580490637929664</v>
      </c>
    </row>
    <row r="113" spans="1:9" x14ac:dyDescent="0.3">
      <c r="A113" t="s">
        <v>136</v>
      </c>
      <c r="B113" t="s">
        <v>51</v>
      </c>
      <c r="C113" s="1">
        <v>44740</v>
      </c>
      <c r="D113" t="s">
        <v>59</v>
      </c>
      <c r="E113" t="s">
        <v>67</v>
      </c>
      <c r="F113">
        <v>72</v>
      </c>
      <c r="G113" t="s">
        <v>1</v>
      </c>
      <c r="H113" s="2">
        <v>11</v>
      </c>
      <c r="I113" s="16">
        <v>0.37069854126093349</v>
      </c>
    </row>
    <row r="114" spans="1:9" x14ac:dyDescent="0.3">
      <c r="A114" t="s">
        <v>137</v>
      </c>
      <c r="B114" t="s">
        <v>52</v>
      </c>
      <c r="C114" s="1">
        <v>44755</v>
      </c>
      <c r="D114" t="s">
        <v>60</v>
      </c>
      <c r="E114" t="s">
        <v>67</v>
      </c>
      <c r="F114">
        <v>65</v>
      </c>
      <c r="G114" t="s">
        <v>2</v>
      </c>
      <c r="H114" s="2">
        <v>10</v>
      </c>
      <c r="I114" s="16">
        <v>0.64422602074286228</v>
      </c>
    </row>
    <row r="115" spans="1:9" x14ac:dyDescent="0.3">
      <c r="A115" t="s">
        <v>138</v>
      </c>
      <c r="B115" t="s">
        <v>53</v>
      </c>
      <c r="C115" s="1">
        <v>44755</v>
      </c>
      <c r="D115" t="s">
        <v>61</v>
      </c>
      <c r="E115" t="s">
        <v>66</v>
      </c>
      <c r="F115">
        <v>250</v>
      </c>
      <c r="G115" t="s">
        <v>0</v>
      </c>
      <c r="H115" s="2">
        <v>2</v>
      </c>
      <c r="I115" s="16">
        <v>0.76652707543193765</v>
      </c>
    </row>
    <row r="116" spans="1:9" x14ac:dyDescent="0.3">
      <c r="A116" t="s">
        <v>139</v>
      </c>
      <c r="B116" t="s">
        <v>54</v>
      </c>
      <c r="C116" s="1">
        <v>44764</v>
      </c>
      <c r="D116" t="s">
        <v>62</v>
      </c>
      <c r="E116" t="s">
        <v>66</v>
      </c>
      <c r="F116">
        <v>130</v>
      </c>
      <c r="G116" t="s">
        <v>1</v>
      </c>
      <c r="H116" s="2">
        <v>2</v>
      </c>
      <c r="I116" s="16">
        <v>0.74416329829954486</v>
      </c>
    </row>
    <row r="117" spans="1:9" x14ac:dyDescent="0.3">
      <c r="A117" t="s">
        <v>140</v>
      </c>
      <c r="B117" t="s">
        <v>51</v>
      </c>
      <c r="C117" s="1">
        <v>44735</v>
      </c>
      <c r="D117" t="s">
        <v>59</v>
      </c>
      <c r="E117" t="s">
        <v>66</v>
      </c>
      <c r="F117">
        <v>72</v>
      </c>
      <c r="G117" t="s">
        <v>2</v>
      </c>
      <c r="H117" s="2">
        <v>8</v>
      </c>
      <c r="I117" s="16">
        <v>0.48484032292333201</v>
      </c>
    </row>
    <row r="118" spans="1:9" x14ac:dyDescent="0.3">
      <c r="A118" t="s">
        <v>141</v>
      </c>
      <c r="B118" t="s">
        <v>52</v>
      </c>
      <c r="C118" s="1">
        <v>44734</v>
      </c>
      <c r="D118" t="s">
        <v>60</v>
      </c>
      <c r="E118" t="s">
        <v>66</v>
      </c>
      <c r="F118">
        <v>65</v>
      </c>
      <c r="G118" t="s">
        <v>0</v>
      </c>
      <c r="H118" s="2">
        <v>8</v>
      </c>
      <c r="I118" s="16">
        <v>0.10556900790048951</v>
      </c>
    </row>
    <row r="119" spans="1:9" x14ac:dyDescent="0.3">
      <c r="A119" t="s">
        <v>142</v>
      </c>
      <c r="B119" t="s">
        <v>53</v>
      </c>
      <c r="C119" s="1">
        <v>44728</v>
      </c>
      <c r="D119" t="s">
        <v>61</v>
      </c>
      <c r="E119" t="s">
        <v>66</v>
      </c>
      <c r="F119">
        <v>250</v>
      </c>
      <c r="G119" t="s">
        <v>1</v>
      </c>
      <c r="H119" s="2">
        <v>1</v>
      </c>
      <c r="I119" s="16">
        <v>0.35681327352398817</v>
      </c>
    </row>
    <row r="120" spans="1:9" x14ac:dyDescent="0.3">
      <c r="A120" t="s">
        <v>143</v>
      </c>
      <c r="B120" t="s">
        <v>54</v>
      </c>
      <c r="C120" s="1">
        <v>44739</v>
      </c>
      <c r="D120" t="s">
        <v>62</v>
      </c>
      <c r="E120" t="s">
        <v>66</v>
      </c>
      <c r="F120">
        <v>130</v>
      </c>
      <c r="G120" t="s">
        <v>2</v>
      </c>
      <c r="H120" s="2">
        <v>2</v>
      </c>
      <c r="I120" s="16">
        <v>0.38966155247167111</v>
      </c>
    </row>
    <row r="121" spans="1:9" x14ac:dyDescent="0.3">
      <c r="A121" t="s">
        <v>144</v>
      </c>
      <c r="B121" t="s">
        <v>55</v>
      </c>
      <c r="C121" s="1">
        <v>44765</v>
      </c>
      <c r="D121" t="s">
        <v>63</v>
      </c>
      <c r="E121" t="s">
        <v>66</v>
      </c>
      <c r="F121">
        <v>60</v>
      </c>
      <c r="G121" t="s">
        <v>0</v>
      </c>
      <c r="H121" s="2">
        <v>6</v>
      </c>
      <c r="I121" s="16">
        <v>0.27342799854809485</v>
      </c>
    </row>
    <row r="122" spans="1:9" x14ac:dyDescent="0.3">
      <c r="A122" t="s">
        <v>145</v>
      </c>
      <c r="B122" t="s">
        <v>51</v>
      </c>
      <c r="C122" s="1">
        <v>44740</v>
      </c>
      <c r="D122" t="s">
        <v>59</v>
      </c>
      <c r="E122" t="s">
        <v>66</v>
      </c>
      <c r="F122">
        <v>72</v>
      </c>
      <c r="G122" t="s">
        <v>1</v>
      </c>
      <c r="H122" s="2">
        <v>11</v>
      </c>
      <c r="I122" s="16">
        <v>0.68404340685026022</v>
      </c>
    </row>
    <row r="123" spans="1:9" x14ac:dyDescent="0.3">
      <c r="A123" t="s">
        <v>146</v>
      </c>
      <c r="B123" t="s">
        <v>52</v>
      </c>
      <c r="C123" s="1">
        <v>44734</v>
      </c>
      <c r="D123" t="s">
        <v>60</v>
      </c>
      <c r="E123" t="s">
        <v>66</v>
      </c>
      <c r="F123">
        <v>65</v>
      </c>
      <c r="G123" t="s">
        <v>2</v>
      </c>
      <c r="H123" s="2">
        <v>4</v>
      </c>
      <c r="I123" s="16">
        <v>0.30511671475159663</v>
      </c>
    </row>
    <row r="124" spans="1:9" x14ac:dyDescent="0.3">
      <c r="A124" t="s">
        <v>147</v>
      </c>
      <c r="B124" t="s">
        <v>53</v>
      </c>
      <c r="C124" s="1">
        <v>44727</v>
      </c>
      <c r="D124" t="s">
        <v>61</v>
      </c>
      <c r="E124" t="s">
        <v>67</v>
      </c>
      <c r="F124">
        <v>250</v>
      </c>
      <c r="G124" t="s">
        <v>0</v>
      </c>
      <c r="H124" s="2">
        <v>3</v>
      </c>
      <c r="I124" s="16">
        <v>0.26634683182511409</v>
      </c>
    </row>
    <row r="125" spans="1:9" x14ac:dyDescent="0.3">
      <c r="A125" t="s">
        <v>148</v>
      </c>
      <c r="B125" t="s">
        <v>54</v>
      </c>
      <c r="C125" s="1">
        <v>44737</v>
      </c>
      <c r="D125" t="s">
        <v>62</v>
      </c>
      <c r="E125" t="s">
        <v>66</v>
      </c>
      <c r="F125">
        <v>130</v>
      </c>
      <c r="G125" t="s">
        <v>1</v>
      </c>
      <c r="H125" s="2">
        <v>2</v>
      </c>
      <c r="I125" s="16">
        <v>0.95598379426073032</v>
      </c>
    </row>
    <row r="126" spans="1:9" x14ac:dyDescent="0.3">
      <c r="A126" t="s">
        <v>149</v>
      </c>
      <c r="B126" t="s">
        <v>51</v>
      </c>
      <c r="C126" s="1">
        <v>44747</v>
      </c>
      <c r="D126" t="s">
        <v>59</v>
      </c>
      <c r="E126" t="s">
        <v>66</v>
      </c>
      <c r="F126">
        <v>72</v>
      </c>
      <c r="G126" t="s">
        <v>2</v>
      </c>
      <c r="H126" s="2">
        <v>3</v>
      </c>
      <c r="I126" s="16">
        <v>0.78465682989488972</v>
      </c>
    </row>
    <row r="127" spans="1:9" x14ac:dyDescent="0.3">
      <c r="A127" t="s">
        <v>150</v>
      </c>
      <c r="B127" t="s">
        <v>52</v>
      </c>
      <c r="C127" s="1">
        <v>44754</v>
      </c>
      <c r="D127" t="s">
        <v>60</v>
      </c>
      <c r="E127" t="s">
        <v>66</v>
      </c>
      <c r="F127">
        <v>65</v>
      </c>
      <c r="G127" t="s">
        <v>0</v>
      </c>
      <c r="H127" s="2">
        <v>4</v>
      </c>
      <c r="I127" s="16">
        <v>0.92531650826605816</v>
      </c>
    </row>
    <row r="128" spans="1:9" x14ac:dyDescent="0.3">
      <c r="A128" t="s">
        <v>151</v>
      </c>
      <c r="B128" t="s">
        <v>53</v>
      </c>
      <c r="C128" s="1">
        <v>44760</v>
      </c>
      <c r="D128" t="s">
        <v>61</v>
      </c>
      <c r="E128" t="s">
        <v>66</v>
      </c>
      <c r="F128">
        <v>250</v>
      </c>
      <c r="G128" t="s">
        <v>1</v>
      </c>
      <c r="H128" s="2">
        <v>3</v>
      </c>
      <c r="I128" s="16">
        <v>0.91314982692991542</v>
      </c>
    </row>
    <row r="129" spans="1:9" x14ac:dyDescent="0.3">
      <c r="A129" t="s">
        <v>152</v>
      </c>
      <c r="B129" t="s">
        <v>54</v>
      </c>
      <c r="C129" s="1">
        <v>44759</v>
      </c>
      <c r="D129" t="s">
        <v>62</v>
      </c>
      <c r="E129" t="s">
        <v>66</v>
      </c>
      <c r="F129">
        <v>130</v>
      </c>
      <c r="G129" t="s">
        <v>2</v>
      </c>
      <c r="H129" s="2">
        <v>2</v>
      </c>
      <c r="I129" s="16">
        <v>8.4586093307030152E-2</v>
      </c>
    </row>
    <row r="130" spans="1:9" x14ac:dyDescent="0.3">
      <c r="A130" t="s">
        <v>153</v>
      </c>
      <c r="B130" t="s">
        <v>55</v>
      </c>
      <c r="C130" s="1">
        <v>44735</v>
      </c>
      <c r="D130" t="s">
        <v>63</v>
      </c>
      <c r="E130" t="s">
        <v>67</v>
      </c>
      <c r="F130">
        <v>60</v>
      </c>
      <c r="G130" t="s">
        <v>0</v>
      </c>
      <c r="H130" s="2">
        <v>7</v>
      </c>
      <c r="I130" s="16">
        <v>0.92983220282837542</v>
      </c>
    </row>
    <row r="131" spans="1:9" x14ac:dyDescent="0.3">
      <c r="A131" t="s">
        <v>154</v>
      </c>
      <c r="B131" t="s">
        <v>56</v>
      </c>
      <c r="C131" s="1">
        <v>44734</v>
      </c>
      <c r="D131" t="s">
        <v>64</v>
      </c>
      <c r="E131" t="s">
        <v>66</v>
      </c>
      <c r="F131">
        <v>95</v>
      </c>
      <c r="G131" t="s">
        <v>1</v>
      </c>
      <c r="H131" s="2">
        <v>6</v>
      </c>
      <c r="I131" s="16">
        <v>0.13029960752667558</v>
      </c>
    </row>
    <row r="132" spans="1:9" x14ac:dyDescent="0.3">
      <c r="A132" t="s">
        <v>155</v>
      </c>
      <c r="B132" t="s">
        <v>51</v>
      </c>
      <c r="C132" s="1">
        <v>44753</v>
      </c>
      <c r="D132" t="s">
        <v>59</v>
      </c>
      <c r="E132" t="s">
        <v>66</v>
      </c>
      <c r="F132">
        <v>72</v>
      </c>
      <c r="G132" t="s">
        <v>2</v>
      </c>
      <c r="H132" s="2">
        <v>6</v>
      </c>
      <c r="I132" s="16">
        <v>0.41456728266200249</v>
      </c>
    </row>
    <row r="133" spans="1:9" x14ac:dyDescent="0.3">
      <c r="A133" t="s">
        <v>156</v>
      </c>
      <c r="B133" t="s">
        <v>52</v>
      </c>
      <c r="C133" s="1">
        <v>44739</v>
      </c>
      <c r="D133" t="s">
        <v>60</v>
      </c>
      <c r="E133" t="s">
        <v>66</v>
      </c>
      <c r="F133">
        <v>65</v>
      </c>
      <c r="G133" t="s">
        <v>0</v>
      </c>
      <c r="H133" s="2">
        <v>8</v>
      </c>
      <c r="I133" s="16">
        <v>0.77953807822657883</v>
      </c>
    </row>
    <row r="134" spans="1:9" x14ac:dyDescent="0.3">
      <c r="A134" t="s">
        <v>157</v>
      </c>
      <c r="B134" t="s">
        <v>53</v>
      </c>
      <c r="C134" s="1">
        <v>44740</v>
      </c>
      <c r="D134" t="s">
        <v>61</v>
      </c>
      <c r="E134" t="s">
        <v>67</v>
      </c>
      <c r="F134">
        <v>250</v>
      </c>
      <c r="G134" t="s">
        <v>1</v>
      </c>
      <c r="H134" s="2">
        <v>3</v>
      </c>
      <c r="I134" s="16">
        <v>0.56602493379943331</v>
      </c>
    </row>
    <row r="135" spans="1:9" x14ac:dyDescent="0.3">
      <c r="A135" t="s">
        <v>158</v>
      </c>
      <c r="B135" t="s">
        <v>54</v>
      </c>
      <c r="C135" s="1">
        <v>44748</v>
      </c>
      <c r="D135" t="s">
        <v>62</v>
      </c>
      <c r="E135" t="s">
        <v>67</v>
      </c>
      <c r="F135">
        <v>130</v>
      </c>
      <c r="G135" t="s">
        <v>2</v>
      </c>
      <c r="H135" s="2">
        <v>2</v>
      </c>
      <c r="I135" s="16">
        <v>0.7922771947085826</v>
      </c>
    </row>
    <row r="136" spans="1:9" x14ac:dyDescent="0.3">
      <c r="A136" t="s">
        <v>159</v>
      </c>
      <c r="B136" t="s">
        <v>51</v>
      </c>
      <c r="C136" s="1">
        <v>44731</v>
      </c>
      <c r="D136" t="s">
        <v>59</v>
      </c>
      <c r="E136" t="s">
        <v>67</v>
      </c>
      <c r="F136">
        <v>72</v>
      </c>
      <c r="G136" t="s">
        <v>0</v>
      </c>
      <c r="H136" s="2">
        <v>9</v>
      </c>
      <c r="I136" s="16">
        <v>9.6806596410280221E-2</v>
      </c>
    </row>
    <row r="137" spans="1:9" x14ac:dyDescent="0.3">
      <c r="A137" t="s">
        <v>160</v>
      </c>
      <c r="B137" t="s">
        <v>52</v>
      </c>
      <c r="C137" s="1">
        <v>44763</v>
      </c>
      <c r="D137" t="s">
        <v>60</v>
      </c>
      <c r="E137" t="s">
        <v>67</v>
      </c>
      <c r="F137">
        <v>65</v>
      </c>
      <c r="G137" t="s">
        <v>1</v>
      </c>
      <c r="H137" s="2">
        <v>8</v>
      </c>
      <c r="I137" s="16">
        <v>0.10738058788365801</v>
      </c>
    </row>
    <row r="138" spans="1:9" x14ac:dyDescent="0.3">
      <c r="A138" t="s">
        <v>161</v>
      </c>
      <c r="B138" t="s">
        <v>53</v>
      </c>
      <c r="C138" s="1">
        <v>44733</v>
      </c>
      <c r="D138" t="s">
        <v>61</v>
      </c>
      <c r="E138" t="s">
        <v>67</v>
      </c>
      <c r="F138">
        <v>250</v>
      </c>
      <c r="G138" t="s">
        <v>2</v>
      </c>
      <c r="H138" s="2">
        <v>1</v>
      </c>
      <c r="I138" s="16">
        <v>0.68298720032284699</v>
      </c>
    </row>
    <row r="139" spans="1:9" x14ac:dyDescent="0.3">
      <c r="A139" t="s">
        <v>162</v>
      </c>
      <c r="B139" t="s">
        <v>54</v>
      </c>
      <c r="C139" s="1">
        <v>44746</v>
      </c>
      <c r="D139" t="s">
        <v>62</v>
      </c>
      <c r="E139" t="s">
        <v>67</v>
      </c>
      <c r="F139">
        <v>130</v>
      </c>
      <c r="G139" t="s">
        <v>0</v>
      </c>
      <c r="H139" s="2">
        <v>2</v>
      </c>
      <c r="I139" s="16">
        <v>8.8476327566971991E-2</v>
      </c>
    </row>
    <row r="140" spans="1:9" x14ac:dyDescent="0.3">
      <c r="A140" t="s">
        <v>163</v>
      </c>
      <c r="B140" t="s">
        <v>51</v>
      </c>
      <c r="C140" s="1">
        <v>44755</v>
      </c>
      <c r="D140" t="s">
        <v>59</v>
      </c>
      <c r="E140" t="s">
        <v>66</v>
      </c>
      <c r="F140">
        <v>72</v>
      </c>
      <c r="G140" t="s">
        <v>0</v>
      </c>
      <c r="H140" s="2">
        <v>9</v>
      </c>
      <c r="I140" s="16">
        <v>0.12263076179640997</v>
      </c>
    </row>
    <row r="141" spans="1:9" x14ac:dyDescent="0.3">
      <c r="A141" t="s">
        <v>164</v>
      </c>
      <c r="B141" t="s">
        <v>52</v>
      </c>
      <c r="C141" s="1">
        <v>44755</v>
      </c>
      <c r="D141" t="s">
        <v>60</v>
      </c>
      <c r="E141" t="s">
        <v>67</v>
      </c>
      <c r="F141">
        <v>65</v>
      </c>
      <c r="G141" t="s">
        <v>1</v>
      </c>
      <c r="H141" s="2">
        <v>7</v>
      </c>
      <c r="I141" s="16">
        <v>0.21348123854438894</v>
      </c>
    </row>
    <row r="142" spans="1:9" x14ac:dyDescent="0.3">
      <c r="A142" t="s">
        <v>165</v>
      </c>
      <c r="B142" t="s">
        <v>53</v>
      </c>
      <c r="C142" s="1">
        <v>44727</v>
      </c>
      <c r="D142" t="s">
        <v>61</v>
      </c>
      <c r="E142" t="s">
        <v>66</v>
      </c>
      <c r="F142">
        <v>250</v>
      </c>
      <c r="G142" t="s">
        <v>2</v>
      </c>
      <c r="H142" s="2">
        <v>3</v>
      </c>
      <c r="I142" s="16">
        <v>0.51777110877083832</v>
      </c>
    </row>
    <row r="143" spans="1:9" x14ac:dyDescent="0.3">
      <c r="A143" t="s">
        <v>166</v>
      </c>
      <c r="B143" t="s">
        <v>54</v>
      </c>
      <c r="C143" s="1">
        <v>44746</v>
      </c>
      <c r="D143" t="s">
        <v>62</v>
      </c>
      <c r="E143" t="s">
        <v>67</v>
      </c>
      <c r="F143">
        <v>130</v>
      </c>
      <c r="G143" t="s">
        <v>0</v>
      </c>
      <c r="H143" s="2">
        <v>3</v>
      </c>
      <c r="I143" s="16">
        <v>0.2471412366587864</v>
      </c>
    </row>
    <row r="144" spans="1:9" x14ac:dyDescent="0.3">
      <c r="A144" t="s">
        <v>167</v>
      </c>
      <c r="B144" t="s">
        <v>51</v>
      </c>
      <c r="C144" s="1">
        <v>44740</v>
      </c>
      <c r="D144" t="s">
        <v>59</v>
      </c>
      <c r="E144" t="s">
        <v>66</v>
      </c>
      <c r="F144">
        <v>72</v>
      </c>
      <c r="G144" t="s">
        <v>1</v>
      </c>
      <c r="H144" s="2">
        <v>4</v>
      </c>
      <c r="I144" s="16">
        <v>0.74108890181243625</v>
      </c>
    </row>
    <row r="145" spans="1:9" x14ac:dyDescent="0.3">
      <c r="A145" t="s">
        <v>168</v>
      </c>
      <c r="B145" t="s">
        <v>52</v>
      </c>
      <c r="C145" s="1">
        <v>44743</v>
      </c>
      <c r="D145" t="s">
        <v>60</v>
      </c>
      <c r="E145" t="s">
        <v>67</v>
      </c>
      <c r="F145">
        <v>65</v>
      </c>
      <c r="G145" t="s">
        <v>2</v>
      </c>
      <c r="H145" s="2">
        <v>5</v>
      </c>
      <c r="I145" s="16">
        <v>0.7589550474918334</v>
      </c>
    </row>
    <row r="146" spans="1:9" x14ac:dyDescent="0.3">
      <c r="A146" t="s">
        <v>169</v>
      </c>
      <c r="B146" t="s">
        <v>53</v>
      </c>
      <c r="C146" s="1">
        <v>44737</v>
      </c>
      <c r="D146" t="s">
        <v>61</v>
      </c>
      <c r="E146" t="s">
        <v>66</v>
      </c>
      <c r="F146">
        <v>250</v>
      </c>
      <c r="G146" t="s">
        <v>0</v>
      </c>
      <c r="H146" s="2">
        <v>4</v>
      </c>
      <c r="I146" s="16">
        <v>0.39519452416647527</v>
      </c>
    </row>
    <row r="147" spans="1:9" x14ac:dyDescent="0.3">
      <c r="A147" t="s">
        <v>170</v>
      </c>
      <c r="B147" t="s">
        <v>54</v>
      </c>
      <c r="C147" s="1">
        <v>44757</v>
      </c>
      <c r="D147" t="s">
        <v>62</v>
      </c>
      <c r="E147" t="s">
        <v>67</v>
      </c>
      <c r="F147">
        <v>130</v>
      </c>
      <c r="G147" t="s">
        <v>1</v>
      </c>
      <c r="H147" s="2">
        <v>5</v>
      </c>
      <c r="I147" s="16">
        <v>2.5857814158937731E-2</v>
      </c>
    </row>
    <row r="148" spans="1:9" x14ac:dyDescent="0.3">
      <c r="A148" t="s">
        <v>171</v>
      </c>
      <c r="B148" t="s">
        <v>55</v>
      </c>
      <c r="C148" s="1">
        <v>44745</v>
      </c>
      <c r="D148" t="s">
        <v>63</v>
      </c>
      <c r="E148" t="s">
        <v>66</v>
      </c>
      <c r="F148">
        <v>60</v>
      </c>
      <c r="G148" t="s">
        <v>2</v>
      </c>
      <c r="H148" s="2">
        <v>10</v>
      </c>
      <c r="I148" s="16">
        <v>0.35224195755599907</v>
      </c>
    </row>
    <row r="149" spans="1:9" x14ac:dyDescent="0.3">
      <c r="A149" t="s">
        <v>172</v>
      </c>
      <c r="B149" t="s">
        <v>51</v>
      </c>
      <c r="C149" s="1">
        <v>44760</v>
      </c>
      <c r="D149" t="s">
        <v>59</v>
      </c>
      <c r="E149" t="s">
        <v>67</v>
      </c>
      <c r="F149">
        <v>72</v>
      </c>
      <c r="G149" t="s">
        <v>0</v>
      </c>
      <c r="H149" s="2">
        <v>12</v>
      </c>
      <c r="I149" s="16">
        <v>4.2934737769464881E-2</v>
      </c>
    </row>
    <row r="150" spans="1:9" x14ac:dyDescent="0.3">
      <c r="A150" t="s">
        <v>173</v>
      </c>
      <c r="B150" t="s">
        <v>52</v>
      </c>
      <c r="C150" s="1">
        <v>44750</v>
      </c>
      <c r="D150" t="s">
        <v>60</v>
      </c>
      <c r="E150" t="s">
        <v>66</v>
      </c>
      <c r="F150">
        <v>65</v>
      </c>
      <c r="G150" t="s">
        <v>1</v>
      </c>
      <c r="H150" s="2">
        <v>12</v>
      </c>
      <c r="I150" s="16">
        <v>6.8824781708392013E-3</v>
      </c>
    </row>
    <row r="151" spans="1:9" x14ac:dyDescent="0.3">
      <c r="A151" t="s">
        <v>174</v>
      </c>
      <c r="B151" t="s">
        <v>53</v>
      </c>
      <c r="C151" s="1">
        <v>44742</v>
      </c>
      <c r="D151" t="s">
        <v>61</v>
      </c>
      <c r="E151" t="s">
        <v>67</v>
      </c>
      <c r="F151">
        <v>250</v>
      </c>
      <c r="G151" t="s">
        <v>2</v>
      </c>
      <c r="H151" s="2">
        <v>1</v>
      </c>
      <c r="I151" s="16">
        <v>0.8553400747255635</v>
      </c>
    </row>
    <row r="152" spans="1:9" x14ac:dyDescent="0.3">
      <c r="A152" t="s">
        <v>175</v>
      </c>
      <c r="B152" t="s">
        <v>54</v>
      </c>
      <c r="C152" s="1">
        <v>44754</v>
      </c>
      <c r="D152" t="s">
        <v>62</v>
      </c>
      <c r="E152" t="s">
        <v>66</v>
      </c>
      <c r="F152">
        <v>130</v>
      </c>
      <c r="G152" t="s">
        <v>0</v>
      </c>
      <c r="H152" s="2">
        <v>6</v>
      </c>
      <c r="I152" s="16">
        <v>0.62107648533214554</v>
      </c>
    </row>
    <row r="153" spans="1:9" x14ac:dyDescent="0.3">
      <c r="A153" t="s">
        <v>176</v>
      </c>
      <c r="B153" t="s">
        <v>51</v>
      </c>
      <c r="C153" s="1">
        <v>44746</v>
      </c>
      <c r="D153" t="s">
        <v>59</v>
      </c>
      <c r="E153" t="s">
        <v>67</v>
      </c>
      <c r="F153">
        <v>72</v>
      </c>
      <c r="G153" t="s">
        <v>1</v>
      </c>
      <c r="H153" s="2">
        <v>3</v>
      </c>
      <c r="I153" s="16">
        <v>0.93819201157518672</v>
      </c>
    </row>
    <row r="154" spans="1:9" x14ac:dyDescent="0.3">
      <c r="A154" t="s">
        <v>177</v>
      </c>
      <c r="B154" t="s">
        <v>52</v>
      </c>
      <c r="C154" s="1">
        <v>44752</v>
      </c>
      <c r="D154" t="s">
        <v>60</v>
      </c>
      <c r="E154" t="s">
        <v>66</v>
      </c>
      <c r="F154">
        <v>65</v>
      </c>
      <c r="G154" t="s">
        <v>2</v>
      </c>
      <c r="H154" s="2">
        <v>12</v>
      </c>
      <c r="I154" s="16">
        <v>0.97731506347213748</v>
      </c>
    </row>
    <row r="155" spans="1:9" x14ac:dyDescent="0.3">
      <c r="A155" t="s">
        <v>178</v>
      </c>
      <c r="B155" t="s">
        <v>53</v>
      </c>
      <c r="C155" s="1">
        <v>44725</v>
      </c>
      <c r="D155" t="s">
        <v>61</v>
      </c>
      <c r="E155" t="s">
        <v>67</v>
      </c>
      <c r="F155">
        <v>250</v>
      </c>
      <c r="G155" t="s">
        <v>0</v>
      </c>
      <c r="H155" s="2">
        <v>3</v>
      </c>
      <c r="I155" s="16">
        <v>0.93618769203099483</v>
      </c>
    </row>
    <row r="156" spans="1:9" x14ac:dyDescent="0.3">
      <c r="A156" t="s">
        <v>179</v>
      </c>
      <c r="B156" t="s">
        <v>54</v>
      </c>
      <c r="C156" s="1">
        <v>44734</v>
      </c>
      <c r="D156" t="s">
        <v>62</v>
      </c>
      <c r="E156" t="s">
        <v>66</v>
      </c>
      <c r="F156">
        <v>130</v>
      </c>
      <c r="G156" t="s">
        <v>1</v>
      </c>
      <c r="H156" s="2">
        <v>5</v>
      </c>
      <c r="I156" s="16">
        <v>0.92747059451906588</v>
      </c>
    </row>
    <row r="157" spans="1:9" x14ac:dyDescent="0.3">
      <c r="A157" t="s">
        <v>180</v>
      </c>
      <c r="B157" t="s">
        <v>55</v>
      </c>
      <c r="C157" s="1">
        <v>44761</v>
      </c>
      <c r="D157" t="s">
        <v>63</v>
      </c>
      <c r="E157" t="s">
        <v>66</v>
      </c>
      <c r="F157">
        <v>60</v>
      </c>
      <c r="G157" t="s">
        <v>2</v>
      </c>
      <c r="H157" s="2">
        <v>8</v>
      </c>
      <c r="I157" s="16">
        <v>9.8331104648150314E-2</v>
      </c>
    </row>
    <row r="158" spans="1:9" x14ac:dyDescent="0.3">
      <c r="A158" t="s">
        <v>181</v>
      </c>
      <c r="B158" t="s">
        <v>56</v>
      </c>
      <c r="C158" s="1">
        <v>44735</v>
      </c>
      <c r="D158" t="s">
        <v>64</v>
      </c>
      <c r="E158" t="s">
        <v>67</v>
      </c>
      <c r="F158">
        <v>95</v>
      </c>
      <c r="G158" t="s">
        <v>0</v>
      </c>
      <c r="H158" s="2">
        <v>5</v>
      </c>
      <c r="I158" s="16">
        <v>4.5012478047171678E-3</v>
      </c>
    </row>
    <row r="159" spans="1:9" x14ac:dyDescent="0.3">
      <c r="A159" t="s">
        <v>182</v>
      </c>
      <c r="B159" t="s">
        <v>51</v>
      </c>
      <c r="C159" s="1">
        <v>44753</v>
      </c>
      <c r="D159" t="s">
        <v>59</v>
      </c>
      <c r="E159" t="s">
        <v>67</v>
      </c>
      <c r="F159">
        <v>72</v>
      </c>
      <c r="G159" t="s">
        <v>1</v>
      </c>
      <c r="H159" s="2">
        <v>9</v>
      </c>
      <c r="I159" s="16">
        <v>0.22169192366246837</v>
      </c>
    </row>
    <row r="160" spans="1:9" x14ac:dyDescent="0.3">
      <c r="A160" t="s">
        <v>183</v>
      </c>
      <c r="B160" t="s">
        <v>52</v>
      </c>
      <c r="C160" s="1">
        <v>44732</v>
      </c>
      <c r="D160" t="s">
        <v>60</v>
      </c>
      <c r="E160" t="s">
        <v>67</v>
      </c>
      <c r="F160">
        <v>65</v>
      </c>
      <c r="G160" t="s">
        <v>2</v>
      </c>
      <c r="H160" s="2">
        <v>6</v>
      </c>
      <c r="I160" s="16">
        <v>0.91624709117858605</v>
      </c>
    </row>
    <row r="161" spans="1:9" x14ac:dyDescent="0.3">
      <c r="A161" t="s">
        <v>184</v>
      </c>
      <c r="B161" t="s">
        <v>53</v>
      </c>
      <c r="C161" s="1">
        <v>44748</v>
      </c>
      <c r="D161" t="s">
        <v>61</v>
      </c>
      <c r="E161" t="s">
        <v>66</v>
      </c>
      <c r="F161">
        <v>250</v>
      </c>
      <c r="G161" t="s">
        <v>0</v>
      </c>
      <c r="H161" s="2">
        <v>3</v>
      </c>
      <c r="I161" s="16">
        <v>0.61362516317019966</v>
      </c>
    </row>
    <row r="162" spans="1:9" x14ac:dyDescent="0.3">
      <c r="A162" t="s">
        <v>185</v>
      </c>
      <c r="B162" t="s">
        <v>54</v>
      </c>
      <c r="C162" s="1">
        <v>44731</v>
      </c>
      <c r="D162" t="s">
        <v>62</v>
      </c>
      <c r="E162" t="s">
        <v>66</v>
      </c>
      <c r="F162">
        <v>130</v>
      </c>
      <c r="G162" t="s">
        <v>1</v>
      </c>
      <c r="H162" s="2">
        <v>4</v>
      </c>
      <c r="I162" s="16">
        <v>0.81572623665656485</v>
      </c>
    </row>
    <row r="163" spans="1:9" x14ac:dyDescent="0.3">
      <c r="A163" t="s">
        <v>186</v>
      </c>
      <c r="B163" t="s">
        <v>51</v>
      </c>
      <c r="C163" s="1">
        <v>44725</v>
      </c>
      <c r="D163" t="s">
        <v>59</v>
      </c>
      <c r="E163" t="s">
        <v>66</v>
      </c>
      <c r="F163">
        <v>72</v>
      </c>
      <c r="G163" t="s">
        <v>2</v>
      </c>
      <c r="H163" s="2">
        <v>11</v>
      </c>
      <c r="I163" s="16">
        <v>0.60394772308749511</v>
      </c>
    </row>
    <row r="164" spans="1:9" x14ac:dyDescent="0.3">
      <c r="A164" t="s">
        <v>187</v>
      </c>
      <c r="B164" t="s">
        <v>52</v>
      </c>
      <c r="C164" s="1">
        <v>44753</v>
      </c>
      <c r="D164" t="s">
        <v>60</v>
      </c>
      <c r="E164" t="s">
        <v>66</v>
      </c>
      <c r="F164">
        <v>65</v>
      </c>
      <c r="G164" t="s">
        <v>0</v>
      </c>
      <c r="H164" s="2">
        <v>7</v>
      </c>
      <c r="I164" s="16">
        <v>0.2716676542664398</v>
      </c>
    </row>
    <row r="165" spans="1:9" x14ac:dyDescent="0.3">
      <c r="A165" t="s">
        <v>188</v>
      </c>
      <c r="B165" t="s">
        <v>53</v>
      </c>
      <c r="C165" s="1">
        <v>44738</v>
      </c>
      <c r="D165" t="s">
        <v>61</v>
      </c>
      <c r="E165" t="s">
        <v>66</v>
      </c>
      <c r="F165">
        <v>250</v>
      </c>
      <c r="G165" t="s">
        <v>1</v>
      </c>
      <c r="H165" s="2">
        <v>2</v>
      </c>
      <c r="I165" s="16">
        <v>0.56293228162406539</v>
      </c>
    </row>
    <row r="166" spans="1:9" x14ac:dyDescent="0.3">
      <c r="A166" t="s">
        <v>189</v>
      </c>
      <c r="B166" t="s">
        <v>54</v>
      </c>
      <c r="C166" s="1">
        <v>44762</v>
      </c>
      <c r="D166" t="s">
        <v>62</v>
      </c>
      <c r="E166" t="s">
        <v>66</v>
      </c>
      <c r="F166">
        <v>130</v>
      </c>
      <c r="G166" t="s">
        <v>2</v>
      </c>
      <c r="H166" s="2">
        <v>4</v>
      </c>
      <c r="I166" s="16">
        <v>0.73579140219525918</v>
      </c>
    </row>
    <row r="167" spans="1:9" x14ac:dyDescent="0.3">
      <c r="A167" t="s">
        <v>190</v>
      </c>
      <c r="B167" t="s">
        <v>55</v>
      </c>
      <c r="C167" s="1">
        <v>44756</v>
      </c>
      <c r="D167" t="s">
        <v>63</v>
      </c>
      <c r="E167" t="s">
        <v>66</v>
      </c>
      <c r="F167">
        <v>60</v>
      </c>
      <c r="G167" t="s">
        <v>0</v>
      </c>
      <c r="H167" s="2">
        <v>12</v>
      </c>
      <c r="I167" s="16">
        <v>0.44112931781121201</v>
      </c>
    </row>
    <row r="168" spans="1:9" x14ac:dyDescent="0.3">
      <c r="A168" t="s">
        <v>191</v>
      </c>
      <c r="B168" t="s">
        <v>51</v>
      </c>
      <c r="C168" s="1">
        <v>44744</v>
      </c>
      <c r="D168" t="s">
        <v>59</v>
      </c>
      <c r="E168" t="s">
        <v>66</v>
      </c>
      <c r="F168">
        <v>72</v>
      </c>
      <c r="G168" t="s">
        <v>1</v>
      </c>
      <c r="H168" s="2">
        <v>11</v>
      </c>
      <c r="I168" s="16">
        <v>0.67026763876764872</v>
      </c>
    </row>
    <row r="169" spans="1:9" x14ac:dyDescent="0.3">
      <c r="A169" t="s">
        <v>192</v>
      </c>
      <c r="B169" t="s">
        <v>52</v>
      </c>
      <c r="C169" s="1">
        <v>44753</v>
      </c>
      <c r="D169" t="s">
        <v>60</v>
      </c>
      <c r="E169" t="s">
        <v>66</v>
      </c>
      <c r="F169">
        <v>65</v>
      </c>
      <c r="G169" t="s">
        <v>2</v>
      </c>
      <c r="H169" s="2">
        <v>9</v>
      </c>
      <c r="I169" s="16">
        <v>0.21501842814819261</v>
      </c>
    </row>
    <row r="170" spans="1:9" x14ac:dyDescent="0.3">
      <c r="A170" t="s">
        <v>193</v>
      </c>
      <c r="B170" t="s">
        <v>53</v>
      </c>
      <c r="C170" s="1">
        <v>44762</v>
      </c>
      <c r="D170" t="s">
        <v>61</v>
      </c>
      <c r="E170" t="s">
        <v>67</v>
      </c>
      <c r="F170">
        <v>250</v>
      </c>
      <c r="G170" t="s">
        <v>0</v>
      </c>
      <c r="H170" s="2">
        <v>3</v>
      </c>
      <c r="I170" s="16">
        <v>0.77528388030776896</v>
      </c>
    </row>
    <row r="171" spans="1:9" x14ac:dyDescent="0.3">
      <c r="A171" t="s">
        <v>194</v>
      </c>
      <c r="B171" t="s">
        <v>54</v>
      </c>
      <c r="C171" s="1">
        <v>44740</v>
      </c>
      <c r="D171" t="s">
        <v>62</v>
      </c>
      <c r="E171" t="s">
        <v>66</v>
      </c>
      <c r="F171">
        <v>130</v>
      </c>
      <c r="G171" t="s">
        <v>1</v>
      </c>
      <c r="H171" s="2">
        <v>3</v>
      </c>
      <c r="I171" s="16">
        <v>0.32334348690445713</v>
      </c>
    </row>
    <row r="172" spans="1:9" x14ac:dyDescent="0.3">
      <c r="A172" t="s">
        <v>195</v>
      </c>
      <c r="B172" t="s">
        <v>51</v>
      </c>
      <c r="C172" s="1">
        <v>44729</v>
      </c>
      <c r="D172" t="s">
        <v>59</v>
      </c>
      <c r="E172" t="s">
        <v>66</v>
      </c>
      <c r="F172">
        <v>72</v>
      </c>
      <c r="G172" t="s">
        <v>2</v>
      </c>
      <c r="H172" s="2">
        <v>5</v>
      </c>
      <c r="I172" s="16">
        <v>0.2117276391971491</v>
      </c>
    </row>
    <row r="173" spans="1:9" x14ac:dyDescent="0.3">
      <c r="A173" t="s">
        <v>196</v>
      </c>
      <c r="B173" t="s">
        <v>52</v>
      </c>
      <c r="C173" s="1">
        <v>44727</v>
      </c>
      <c r="D173" t="s">
        <v>60</v>
      </c>
      <c r="E173" t="s">
        <v>66</v>
      </c>
      <c r="F173">
        <v>65</v>
      </c>
      <c r="G173" t="s">
        <v>0</v>
      </c>
      <c r="H173" s="2">
        <v>10</v>
      </c>
      <c r="I173" s="16">
        <v>0.99817658128489728</v>
      </c>
    </row>
    <row r="174" spans="1:9" x14ac:dyDescent="0.3">
      <c r="A174" t="s">
        <v>197</v>
      </c>
      <c r="B174" t="s">
        <v>53</v>
      </c>
      <c r="C174" s="1">
        <v>44734</v>
      </c>
      <c r="D174" t="s">
        <v>61</v>
      </c>
      <c r="E174" t="s">
        <v>66</v>
      </c>
      <c r="F174">
        <v>250</v>
      </c>
      <c r="G174" t="s">
        <v>1</v>
      </c>
      <c r="H174" s="2">
        <v>3</v>
      </c>
      <c r="I174" s="16">
        <v>0.34321661485625221</v>
      </c>
    </row>
    <row r="175" spans="1:9" x14ac:dyDescent="0.3">
      <c r="A175" t="s">
        <v>198</v>
      </c>
      <c r="B175" t="s">
        <v>54</v>
      </c>
      <c r="C175" s="1">
        <v>44744</v>
      </c>
      <c r="D175" t="s">
        <v>62</v>
      </c>
      <c r="E175" t="s">
        <v>66</v>
      </c>
      <c r="F175">
        <v>130</v>
      </c>
      <c r="G175" t="s">
        <v>2</v>
      </c>
      <c r="H175" s="2">
        <v>6</v>
      </c>
      <c r="I175" s="16">
        <v>0.17688363553653064</v>
      </c>
    </row>
    <row r="176" spans="1:9" x14ac:dyDescent="0.3">
      <c r="A176" t="s">
        <v>199</v>
      </c>
      <c r="B176" t="s">
        <v>55</v>
      </c>
      <c r="C176" s="1">
        <v>44737</v>
      </c>
      <c r="D176" t="s">
        <v>63</v>
      </c>
      <c r="E176" t="s">
        <v>67</v>
      </c>
      <c r="F176">
        <v>60</v>
      </c>
      <c r="G176" t="s">
        <v>0</v>
      </c>
      <c r="H176" s="2">
        <v>12</v>
      </c>
      <c r="I176" s="16">
        <v>0.54853763527560739</v>
      </c>
    </row>
    <row r="177" spans="1:9" x14ac:dyDescent="0.3">
      <c r="A177" t="s">
        <v>200</v>
      </c>
      <c r="B177" t="s">
        <v>56</v>
      </c>
      <c r="C177" s="1">
        <v>44752</v>
      </c>
      <c r="D177" t="s">
        <v>64</v>
      </c>
      <c r="E177" t="s">
        <v>66</v>
      </c>
      <c r="F177">
        <v>95</v>
      </c>
      <c r="G177" t="s">
        <v>1</v>
      </c>
      <c r="H177" s="2">
        <v>7</v>
      </c>
      <c r="I177" s="16">
        <v>0.40612729229894939</v>
      </c>
    </row>
    <row r="178" spans="1:9" x14ac:dyDescent="0.3">
      <c r="A178" t="s">
        <v>201</v>
      </c>
      <c r="B178" t="s">
        <v>51</v>
      </c>
      <c r="C178" s="1">
        <v>44736</v>
      </c>
      <c r="D178" t="s">
        <v>59</v>
      </c>
      <c r="E178" t="s">
        <v>66</v>
      </c>
      <c r="F178">
        <v>72</v>
      </c>
      <c r="G178" t="s">
        <v>2</v>
      </c>
      <c r="H178" s="2">
        <v>6</v>
      </c>
      <c r="I178" s="16">
        <v>0.16780300089638589</v>
      </c>
    </row>
    <row r="179" spans="1:9" x14ac:dyDescent="0.3">
      <c r="A179" t="s">
        <v>202</v>
      </c>
      <c r="B179" t="s">
        <v>52</v>
      </c>
      <c r="C179" s="1">
        <v>44752</v>
      </c>
      <c r="D179" t="s">
        <v>60</v>
      </c>
      <c r="E179" t="s">
        <v>66</v>
      </c>
      <c r="F179">
        <v>65</v>
      </c>
      <c r="G179" t="s">
        <v>0</v>
      </c>
      <c r="H179" s="2">
        <v>10</v>
      </c>
      <c r="I179" s="16">
        <v>0.91086777790941564</v>
      </c>
    </row>
    <row r="180" spans="1:9" x14ac:dyDescent="0.3">
      <c r="A180" t="s">
        <v>203</v>
      </c>
      <c r="B180" t="s">
        <v>53</v>
      </c>
      <c r="C180" s="1">
        <v>44759</v>
      </c>
      <c r="D180" t="s">
        <v>61</v>
      </c>
      <c r="E180" t="s">
        <v>67</v>
      </c>
      <c r="F180">
        <v>250</v>
      </c>
      <c r="G180" t="s">
        <v>1</v>
      </c>
      <c r="H180" s="2">
        <v>3</v>
      </c>
      <c r="I180" s="16">
        <v>0.2731985494536886</v>
      </c>
    </row>
    <row r="181" spans="1:9" x14ac:dyDescent="0.3">
      <c r="A181" t="s">
        <v>204</v>
      </c>
      <c r="B181" t="s">
        <v>54</v>
      </c>
      <c r="C181" s="1">
        <v>44763</v>
      </c>
      <c r="D181" t="s">
        <v>62</v>
      </c>
      <c r="E181" t="s">
        <v>67</v>
      </c>
      <c r="F181">
        <v>130</v>
      </c>
      <c r="G181" t="s">
        <v>2</v>
      </c>
      <c r="H181" s="2">
        <v>4</v>
      </c>
      <c r="I181" s="16">
        <v>0.81984662786178419</v>
      </c>
    </row>
    <row r="182" spans="1:9" x14ac:dyDescent="0.3">
      <c r="A182" t="s">
        <v>205</v>
      </c>
      <c r="B182" t="s">
        <v>51</v>
      </c>
      <c r="C182" s="1">
        <v>44763</v>
      </c>
      <c r="D182" t="s">
        <v>59</v>
      </c>
      <c r="E182" t="s">
        <v>67</v>
      </c>
      <c r="F182">
        <v>72</v>
      </c>
      <c r="G182" t="s">
        <v>0</v>
      </c>
      <c r="H182" s="2">
        <v>7</v>
      </c>
      <c r="I182" s="16">
        <v>0.89980934003543744</v>
      </c>
    </row>
    <row r="183" spans="1:9" x14ac:dyDescent="0.3">
      <c r="A183" t="s">
        <v>206</v>
      </c>
      <c r="B183" t="s">
        <v>52</v>
      </c>
      <c r="C183" s="1">
        <v>44750</v>
      </c>
      <c r="D183" t="s">
        <v>60</v>
      </c>
      <c r="E183" t="s">
        <v>67</v>
      </c>
      <c r="F183">
        <v>65</v>
      </c>
      <c r="G183" t="s">
        <v>1</v>
      </c>
      <c r="H183" s="2">
        <v>5</v>
      </c>
      <c r="I183" s="16">
        <v>0.73522347452625669</v>
      </c>
    </row>
    <row r="184" spans="1:9" x14ac:dyDescent="0.3">
      <c r="A184" t="s">
        <v>207</v>
      </c>
      <c r="B184" t="s">
        <v>53</v>
      </c>
      <c r="C184" s="1">
        <v>44751</v>
      </c>
      <c r="D184" t="s">
        <v>61</v>
      </c>
      <c r="E184" t="s">
        <v>67</v>
      </c>
      <c r="F184">
        <v>250</v>
      </c>
      <c r="G184" t="s">
        <v>2</v>
      </c>
      <c r="H184" s="2">
        <v>3</v>
      </c>
      <c r="I184" s="16">
        <v>0.36579213338930128</v>
      </c>
    </row>
    <row r="185" spans="1:9" x14ac:dyDescent="0.3">
      <c r="A185" t="s">
        <v>208</v>
      </c>
      <c r="B185" t="s">
        <v>54</v>
      </c>
      <c r="C185" s="1">
        <v>44736</v>
      </c>
      <c r="D185" t="s">
        <v>62</v>
      </c>
      <c r="E185" t="s">
        <v>67</v>
      </c>
      <c r="F185">
        <v>130</v>
      </c>
      <c r="G185" t="s">
        <v>0</v>
      </c>
      <c r="H185" s="2">
        <v>2</v>
      </c>
      <c r="I185" s="16">
        <v>0.79313642440033238</v>
      </c>
    </row>
    <row r="186" spans="1:9" x14ac:dyDescent="0.3">
      <c r="A186" t="s">
        <v>209</v>
      </c>
      <c r="B186" t="s">
        <v>51</v>
      </c>
      <c r="C186" s="1">
        <v>44737</v>
      </c>
      <c r="D186" t="s">
        <v>59</v>
      </c>
      <c r="E186" t="s">
        <v>66</v>
      </c>
      <c r="F186">
        <v>72</v>
      </c>
      <c r="G186" t="s">
        <v>0</v>
      </c>
      <c r="H186" s="2">
        <v>4</v>
      </c>
      <c r="I186" s="16">
        <v>8.0407664979564641E-2</v>
      </c>
    </row>
    <row r="187" spans="1:9" x14ac:dyDescent="0.3">
      <c r="A187" t="s">
        <v>210</v>
      </c>
      <c r="B187" t="s">
        <v>52</v>
      </c>
      <c r="C187" s="1">
        <v>44744</v>
      </c>
      <c r="D187" t="s">
        <v>60</v>
      </c>
      <c r="E187" t="s">
        <v>67</v>
      </c>
      <c r="F187">
        <v>65</v>
      </c>
      <c r="G187" t="s">
        <v>1</v>
      </c>
      <c r="H187" s="2">
        <v>12</v>
      </c>
      <c r="I187" s="16">
        <v>0.38525936096781821</v>
      </c>
    </row>
    <row r="188" spans="1:9" x14ac:dyDescent="0.3">
      <c r="A188" t="s">
        <v>211</v>
      </c>
      <c r="B188" t="s">
        <v>53</v>
      </c>
      <c r="C188" s="1">
        <v>44735</v>
      </c>
      <c r="D188" t="s">
        <v>61</v>
      </c>
      <c r="E188" t="s">
        <v>66</v>
      </c>
      <c r="F188">
        <v>250</v>
      </c>
      <c r="G188" t="s">
        <v>2</v>
      </c>
      <c r="H188" s="2">
        <v>1</v>
      </c>
      <c r="I188" s="16">
        <v>0.45507177071325888</v>
      </c>
    </row>
    <row r="189" spans="1:9" x14ac:dyDescent="0.3">
      <c r="A189" t="s">
        <v>212</v>
      </c>
      <c r="B189" t="s">
        <v>54</v>
      </c>
      <c r="C189" s="1">
        <v>44751</v>
      </c>
      <c r="D189" t="s">
        <v>62</v>
      </c>
      <c r="E189" t="s">
        <v>67</v>
      </c>
      <c r="F189">
        <v>130</v>
      </c>
      <c r="G189" t="s">
        <v>0</v>
      </c>
      <c r="H189" s="2">
        <v>4</v>
      </c>
      <c r="I189" s="16">
        <v>0.93827031337312128</v>
      </c>
    </row>
    <row r="190" spans="1:9" x14ac:dyDescent="0.3">
      <c r="A190" t="s">
        <v>213</v>
      </c>
      <c r="B190" t="s">
        <v>51</v>
      </c>
      <c r="C190" s="1">
        <v>44726</v>
      </c>
      <c r="D190" t="s">
        <v>59</v>
      </c>
      <c r="E190" t="s">
        <v>66</v>
      </c>
      <c r="F190">
        <v>72</v>
      </c>
      <c r="G190" t="s">
        <v>1</v>
      </c>
      <c r="H190" s="2">
        <v>7</v>
      </c>
      <c r="I190" s="16">
        <v>0.14716035331195043</v>
      </c>
    </row>
    <row r="191" spans="1:9" x14ac:dyDescent="0.3">
      <c r="A191" t="s">
        <v>214</v>
      </c>
      <c r="B191" t="s">
        <v>52</v>
      </c>
      <c r="C191" s="1">
        <v>44749</v>
      </c>
      <c r="D191" t="s">
        <v>60</v>
      </c>
      <c r="E191" t="s">
        <v>67</v>
      </c>
      <c r="F191">
        <v>65</v>
      </c>
      <c r="G191" t="s">
        <v>2</v>
      </c>
      <c r="H191" s="2">
        <v>12</v>
      </c>
      <c r="I191" s="16">
        <v>0.10159867043013626</v>
      </c>
    </row>
    <row r="192" spans="1:9" x14ac:dyDescent="0.3">
      <c r="A192" t="s">
        <v>215</v>
      </c>
      <c r="B192" t="s">
        <v>53</v>
      </c>
      <c r="C192" s="1">
        <v>44734</v>
      </c>
      <c r="D192" t="s">
        <v>61</v>
      </c>
      <c r="E192" t="s">
        <v>66</v>
      </c>
      <c r="F192">
        <v>250</v>
      </c>
      <c r="G192" t="s">
        <v>0</v>
      </c>
      <c r="H192" s="2">
        <v>2</v>
      </c>
      <c r="I192" s="16">
        <v>0.50060788399709522</v>
      </c>
    </row>
    <row r="193" spans="1:9" x14ac:dyDescent="0.3">
      <c r="A193" t="s">
        <v>216</v>
      </c>
      <c r="B193" t="s">
        <v>54</v>
      </c>
      <c r="C193" s="1">
        <v>44726</v>
      </c>
      <c r="D193" t="s">
        <v>62</v>
      </c>
      <c r="E193" t="s">
        <v>67</v>
      </c>
      <c r="F193">
        <v>130</v>
      </c>
      <c r="G193" t="s">
        <v>1</v>
      </c>
      <c r="H193" s="2">
        <v>6</v>
      </c>
      <c r="I193" s="16">
        <v>0.70539643021834586</v>
      </c>
    </row>
    <row r="194" spans="1:9" x14ac:dyDescent="0.3">
      <c r="A194" t="s">
        <v>217</v>
      </c>
      <c r="B194" t="s">
        <v>55</v>
      </c>
      <c r="C194" s="1">
        <v>44743</v>
      </c>
      <c r="D194" t="s">
        <v>63</v>
      </c>
      <c r="E194" t="s">
        <v>66</v>
      </c>
      <c r="F194">
        <v>60</v>
      </c>
      <c r="G194" t="s">
        <v>2</v>
      </c>
      <c r="H194" s="2">
        <v>12</v>
      </c>
      <c r="I194" s="16">
        <v>0.72481379032239401</v>
      </c>
    </row>
    <row r="195" spans="1:9" x14ac:dyDescent="0.3">
      <c r="A195" t="s">
        <v>218</v>
      </c>
      <c r="B195" t="s">
        <v>51</v>
      </c>
      <c r="C195" s="1">
        <v>44742</v>
      </c>
      <c r="D195" t="s">
        <v>59</v>
      </c>
      <c r="E195" t="s">
        <v>67</v>
      </c>
      <c r="F195">
        <v>72</v>
      </c>
      <c r="G195" t="s">
        <v>0</v>
      </c>
      <c r="H195" s="2">
        <v>6</v>
      </c>
      <c r="I195" s="16">
        <v>0.21833121955544521</v>
      </c>
    </row>
    <row r="196" spans="1:9" x14ac:dyDescent="0.3">
      <c r="A196" t="s">
        <v>219</v>
      </c>
      <c r="B196" t="s">
        <v>52</v>
      </c>
      <c r="C196" s="1">
        <v>44747</v>
      </c>
      <c r="D196" t="s">
        <v>60</v>
      </c>
      <c r="E196" t="s">
        <v>66</v>
      </c>
      <c r="F196">
        <v>65</v>
      </c>
      <c r="G196" t="s">
        <v>1</v>
      </c>
      <c r="H196" s="2">
        <v>8</v>
      </c>
      <c r="I196" s="16">
        <v>0.33253524453952932</v>
      </c>
    </row>
    <row r="197" spans="1:9" x14ac:dyDescent="0.3">
      <c r="A197" t="s">
        <v>220</v>
      </c>
      <c r="B197" t="s">
        <v>53</v>
      </c>
      <c r="C197" s="1">
        <v>44764</v>
      </c>
      <c r="D197" t="s">
        <v>61</v>
      </c>
      <c r="E197" t="s">
        <v>67</v>
      </c>
      <c r="F197">
        <v>250</v>
      </c>
      <c r="G197" t="s">
        <v>2</v>
      </c>
      <c r="H197" s="2">
        <v>2</v>
      </c>
      <c r="I197" s="16">
        <v>0.39793552100289009</v>
      </c>
    </row>
    <row r="198" spans="1:9" x14ac:dyDescent="0.3">
      <c r="A198" t="s">
        <v>221</v>
      </c>
      <c r="B198" t="s">
        <v>54</v>
      </c>
      <c r="C198" s="1">
        <v>44735</v>
      </c>
      <c r="D198" t="s">
        <v>62</v>
      </c>
      <c r="E198" t="s">
        <v>66</v>
      </c>
      <c r="F198">
        <v>130</v>
      </c>
      <c r="G198" t="s">
        <v>0</v>
      </c>
      <c r="H198" s="2">
        <v>4</v>
      </c>
      <c r="I198" s="16">
        <v>0.83519533088641318</v>
      </c>
    </row>
    <row r="199" spans="1:9" x14ac:dyDescent="0.3">
      <c r="A199" t="s">
        <v>222</v>
      </c>
      <c r="B199" t="s">
        <v>51</v>
      </c>
      <c r="C199" s="1">
        <v>44737</v>
      </c>
      <c r="D199" t="s">
        <v>59</v>
      </c>
      <c r="E199" t="s">
        <v>67</v>
      </c>
      <c r="F199">
        <v>72</v>
      </c>
      <c r="G199" t="s">
        <v>1</v>
      </c>
      <c r="H199" s="2">
        <v>10</v>
      </c>
      <c r="I199" s="16">
        <v>8.7312208799101843E-3</v>
      </c>
    </row>
    <row r="200" spans="1:9" x14ac:dyDescent="0.3">
      <c r="A200" t="s">
        <v>223</v>
      </c>
      <c r="B200" t="s">
        <v>52</v>
      </c>
      <c r="C200" s="1">
        <v>44749</v>
      </c>
      <c r="D200" t="s">
        <v>60</v>
      </c>
      <c r="E200" t="s">
        <v>66</v>
      </c>
      <c r="F200">
        <v>65</v>
      </c>
      <c r="G200" t="s">
        <v>2</v>
      </c>
      <c r="H200" s="2">
        <v>12</v>
      </c>
      <c r="I200" s="16">
        <v>0.95071636556912675</v>
      </c>
    </row>
    <row r="201" spans="1:9" x14ac:dyDescent="0.3">
      <c r="A201" t="s">
        <v>224</v>
      </c>
      <c r="B201" t="s">
        <v>53</v>
      </c>
      <c r="C201" s="1">
        <v>44729</v>
      </c>
      <c r="D201" t="s">
        <v>61</v>
      </c>
      <c r="E201" t="s">
        <v>67</v>
      </c>
      <c r="F201">
        <v>250</v>
      </c>
      <c r="G201" t="s">
        <v>0</v>
      </c>
      <c r="H201" s="2">
        <v>4</v>
      </c>
      <c r="I201" s="16">
        <v>6.5110770871939172E-2</v>
      </c>
    </row>
    <row r="202" spans="1:9" x14ac:dyDescent="0.3">
      <c r="A202" t="s">
        <v>225</v>
      </c>
      <c r="B202" t="s">
        <v>54</v>
      </c>
      <c r="C202" s="1">
        <v>44738</v>
      </c>
      <c r="D202" t="s">
        <v>62</v>
      </c>
      <c r="E202" t="s">
        <v>66</v>
      </c>
      <c r="F202">
        <v>130</v>
      </c>
      <c r="G202" t="s">
        <v>1</v>
      </c>
      <c r="H202" s="2">
        <v>6</v>
      </c>
      <c r="I202" s="16">
        <v>0.43772024513265795</v>
      </c>
    </row>
    <row r="203" spans="1:9" x14ac:dyDescent="0.3">
      <c r="A203" t="s">
        <v>226</v>
      </c>
      <c r="B203" t="s">
        <v>55</v>
      </c>
      <c r="C203" s="1">
        <v>44740</v>
      </c>
      <c r="D203" t="s">
        <v>63</v>
      </c>
      <c r="E203" t="s">
        <v>66</v>
      </c>
      <c r="F203">
        <v>60</v>
      </c>
      <c r="G203" t="s">
        <v>2</v>
      </c>
      <c r="H203" s="2">
        <v>7</v>
      </c>
      <c r="I203" s="16">
        <v>0.41853663840169475</v>
      </c>
    </row>
    <row r="204" spans="1:9" x14ac:dyDescent="0.3">
      <c r="A204" t="s">
        <v>227</v>
      </c>
      <c r="B204" t="s">
        <v>56</v>
      </c>
      <c r="C204" s="1">
        <v>44755</v>
      </c>
      <c r="D204" t="s">
        <v>64</v>
      </c>
      <c r="E204" t="s">
        <v>67</v>
      </c>
      <c r="F204">
        <v>95</v>
      </c>
      <c r="G204" t="s">
        <v>0</v>
      </c>
      <c r="H204" s="2">
        <v>7</v>
      </c>
      <c r="I204" s="16">
        <v>0.38824165845812764</v>
      </c>
    </row>
    <row r="205" spans="1:9" x14ac:dyDescent="0.3">
      <c r="A205" t="s">
        <v>228</v>
      </c>
      <c r="B205" t="s">
        <v>51</v>
      </c>
      <c r="C205" s="1">
        <v>44755</v>
      </c>
      <c r="D205" t="s">
        <v>59</v>
      </c>
      <c r="E205" t="s">
        <v>67</v>
      </c>
      <c r="F205">
        <v>72</v>
      </c>
      <c r="G205" t="s">
        <v>1</v>
      </c>
      <c r="H205" s="2">
        <v>3</v>
      </c>
      <c r="I205" s="16">
        <v>0.75434060698733896</v>
      </c>
    </row>
    <row r="206" spans="1:9" x14ac:dyDescent="0.3">
      <c r="A206" t="s">
        <v>229</v>
      </c>
      <c r="B206" t="s">
        <v>52</v>
      </c>
      <c r="C206" s="1">
        <v>44764</v>
      </c>
      <c r="D206" t="s">
        <v>60</v>
      </c>
      <c r="E206" t="s">
        <v>67</v>
      </c>
      <c r="F206">
        <v>65</v>
      </c>
      <c r="G206" t="s">
        <v>2</v>
      </c>
      <c r="H206" s="2">
        <v>12</v>
      </c>
      <c r="I206" s="16">
        <v>0.61587381700020483</v>
      </c>
    </row>
    <row r="207" spans="1:9" x14ac:dyDescent="0.3">
      <c r="A207" t="s">
        <v>230</v>
      </c>
      <c r="B207" t="s">
        <v>53</v>
      </c>
      <c r="C207" s="1">
        <v>44735</v>
      </c>
      <c r="D207" t="s">
        <v>61</v>
      </c>
      <c r="E207" t="s">
        <v>66</v>
      </c>
      <c r="F207">
        <v>250</v>
      </c>
      <c r="G207" t="s">
        <v>0</v>
      </c>
      <c r="H207" s="2">
        <v>2</v>
      </c>
      <c r="I207" s="16">
        <v>0.80006888756762451</v>
      </c>
    </row>
    <row r="208" spans="1:9" x14ac:dyDescent="0.3">
      <c r="A208" t="s">
        <v>231</v>
      </c>
      <c r="B208" t="s">
        <v>54</v>
      </c>
      <c r="C208" s="1">
        <v>44734</v>
      </c>
      <c r="D208" t="s">
        <v>62</v>
      </c>
      <c r="E208" t="s">
        <v>66</v>
      </c>
      <c r="F208">
        <v>130</v>
      </c>
      <c r="G208" t="s">
        <v>1</v>
      </c>
      <c r="H208" s="2">
        <v>5</v>
      </c>
      <c r="I208" s="16">
        <v>0.68228949683615203</v>
      </c>
    </row>
    <row r="209" spans="1:9" x14ac:dyDescent="0.3">
      <c r="A209" t="s">
        <v>232</v>
      </c>
      <c r="B209" t="s">
        <v>51</v>
      </c>
      <c r="C209" s="1">
        <v>44728</v>
      </c>
      <c r="D209" t="s">
        <v>59</v>
      </c>
      <c r="E209" t="s">
        <v>66</v>
      </c>
      <c r="F209">
        <v>72</v>
      </c>
      <c r="G209" t="s">
        <v>2</v>
      </c>
      <c r="H209" s="2">
        <v>10</v>
      </c>
      <c r="I209" s="16">
        <v>1.6479509006877335E-2</v>
      </c>
    </row>
    <row r="210" spans="1:9" x14ac:dyDescent="0.3">
      <c r="A210" t="s">
        <v>233</v>
      </c>
      <c r="B210" t="s">
        <v>52</v>
      </c>
      <c r="C210" s="1">
        <v>44739</v>
      </c>
      <c r="D210" t="s">
        <v>60</v>
      </c>
      <c r="E210" t="s">
        <v>66</v>
      </c>
      <c r="F210">
        <v>65</v>
      </c>
      <c r="G210" t="s">
        <v>0</v>
      </c>
      <c r="H210" s="2">
        <v>10</v>
      </c>
      <c r="I210" s="16">
        <v>0.23078123893127422</v>
      </c>
    </row>
    <row r="211" spans="1:9" x14ac:dyDescent="0.3">
      <c r="A211" t="s">
        <v>234</v>
      </c>
      <c r="B211" t="s">
        <v>53</v>
      </c>
      <c r="C211" s="1">
        <v>44765</v>
      </c>
      <c r="D211" t="s">
        <v>61</v>
      </c>
      <c r="E211" t="s">
        <v>66</v>
      </c>
      <c r="F211">
        <v>250</v>
      </c>
      <c r="G211" t="s">
        <v>1</v>
      </c>
      <c r="H211" s="2">
        <v>3</v>
      </c>
      <c r="I211" s="16">
        <v>2.2225272121484729E-2</v>
      </c>
    </row>
    <row r="212" spans="1:9" x14ac:dyDescent="0.3">
      <c r="A212" t="s">
        <v>235</v>
      </c>
      <c r="B212" t="s">
        <v>54</v>
      </c>
      <c r="C212" s="1">
        <v>44740</v>
      </c>
      <c r="D212" t="s">
        <v>62</v>
      </c>
      <c r="E212" t="s">
        <v>66</v>
      </c>
      <c r="F212">
        <v>130</v>
      </c>
      <c r="G212" t="s">
        <v>2</v>
      </c>
      <c r="H212" s="2">
        <v>3</v>
      </c>
      <c r="I212" s="16">
        <v>0.72206439626516772</v>
      </c>
    </row>
    <row r="213" spans="1:9" x14ac:dyDescent="0.3">
      <c r="A213" t="s">
        <v>236</v>
      </c>
      <c r="B213" t="s">
        <v>55</v>
      </c>
      <c r="C213" s="1">
        <v>44734</v>
      </c>
      <c r="D213" t="s">
        <v>63</v>
      </c>
      <c r="E213" t="s">
        <v>66</v>
      </c>
      <c r="F213">
        <v>60</v>
      </c>
      <c r="G213" t="s">
        <v>0</v>
      </c>
      <c r="H213" s="2">
        <v>7</v>
      </c>
      <c r="I213" s="16">
        <v>0.66067744665264683</v>
      </c>
    </row>
    <row r="214" spans="1:9" x14ac:dyDescent="0.3">
      <c r="A214" t="s">
        <v>237</v>
      </c>
      <c r="B214" t="s">
        <v>51</v>
      </c>
      <c r="C214" s="1">
        <v>44727</v>
      </c>
      <c r="D214" t="s">
        <v>59</v>
      </c>
      <c r="E214" t="s">
        <v>66</v>
      </c>
      <c r="F214">
        <v>72</v>
      </c>
      <c r="G214" t="s">
        <v>1</v>
      </c>
      <c r="H214" s="2">
        <v>6</v>
      </c>
      <c r="I214" s="16">
        <v>0.14048396352986114</v>
      </c>
    </row>
    <row r="215" spans="1:9" x14ac:dyDescent="0.3">
      <c r="A215" t="s">
        <v>238</v>
      </c>
      <c r="B215" t="s">
        <v>52</v>
      </c>
      <c r="C215" s="1">
        <v>44737</v>
      </c>
      <c r="D215" t="s">
        <v>60</v>
      </c>
      <c r="E215" t="s">
        <v>66</v>
      </c>
      <c r="F215">
        <v>65</v>
      </c>
      <c r="G215" t="s">
        <v>2</v>
      </c>
      <c r="H215" s="2">
        <v>8</v>
      </c>
      <c r="I215" s="16">
        <v>0.37872981249566817</v>
      </c>
    </row>
    <row r="216" spans="1:9" x14ac:dyDescent="0.3">
      <c r="A216" t="s">
        <v>239</v>
      </c>
      <c r="B216" t="s">
        <v>53</v>
      </c>
      <c r="C216" s="1">
        <v>44747</v>
      </c>
      <c r="D216" t="s">
        <v>61</v>
      </c>
      <c r="E216" t="s">
        <v>67</v>
      </c>
      <c r="F216">
        <v>250</v>
      </c>
      <c r="G216" t="s">
        <v>0</v>
      </c>
      <c r="H216" s="2">
        <v>2</v>
      </c>
      <c r="I216" s="16">
        <v>0.71515589694127546</v>
      </c>
    </row>
    <row r="217" spans="1:9" x14ac:dyDescent="0.3">
      <c r="A217" t="s">
        <v>240</v>
      </c>
      <c r="B217" t="s">
        <v>54</v>
      </c>
      <c r="C217" s="1">
        <v>44754</v>
      </c>
      <c r="D217" t="s">
        <v>62</v>
      </c>
      <c r="E217" t="s">
        <v>66</v>
      </c>
      <c r="F217">
        <v>130</v>
      </c>
      <c r="G217" t="s">
        <v>1</v>
      </c>
      <c r="H217" s="2">
        <v>6</v>
      </c>
      <c r="I217" s="16">
        <v>0.21412519358799298</v>
      </c>
    </row>
    <row r="218" spans="1:9" x14ac:dyDescent="0.3">
      <c r="A218" t="s">
        <v>241</v>
      </c>
      <c r="B218" t="s">
        <v>51</v>
      </c>
      <c r="C218" s="1">
        <v>44760</v>
      </c>
      <c r="D218" t="s">
        <v>59</v>
      </c>
      <c r="E218" t="s">
        <v>66</v>
      </c>
      <c r="F218">
        <v>72</v>
      </c>
      <c r="G218" t="s">
        <v>2</v>
      </c>
      <c r="H218" s="2">
        <v>6</v>
      </c>
      <c r="I218" s="16">
        <v>0.16455091596073168</v>
      </c>
    </row>
    <row r="219" spans="1:9" x14ac:dyDescent="0.3">
      <c r="A219" t="s">
        <v>242</v>
      </c>
      <c r="B219" t="s">
        <v>52</v>
      </c>
      <c r="C219" s="1">
        <v>44759</v>
      </c>
      <c r="D219" t="s">
        <v>60</v>
      </c>
      <c r="E219" t="s">
        <v>66</v>
      </c>
      <c r="F219">
        <v>65</v>
      </c>
      <c r="G219" t="s">
        <v>0</v>
      </c>
      <c r="H219" s="2">
        <v>4</v>
      </c>
      <c r="I219" s="16">
        <v>0.25666907491668522</v>
      </c>
    </row>
    <row r="220" spans="1:9" x14ac:dyDescent="0.3">
      <c r="A220" t="s">
        <v>243</v>
      </c>
      <c r="B220" t="s">
        <v>53</v>
      </c>
      <c r="C220" s="1">
        <v>44735</v>
      </c>
      <c r="D220" t="s">
        <v>61</v>
      </c>
      <c r="E220" t="s">
        <v>66</v>
      </c>
      <c r="F220">
        <v>250</v>
      </c>
      <c r="G220" t="s">
        <v>1</v>
      </c>
      <c r="H220" s="2">
        <v>3</v>
      </c>
      <c r="I220" s="16">
        <v>0.90160231788426648</v>
      </c>
    </row>
    <row r="221" spans="1:9" x14ac:dyDescent="0.3">
      <c r="A221" t="s">
        <v>244</v>
      </c>
      <c r="B221" t="s">
        <v>54</v>
      </c>
      <c r="C221" s="1">
        <v>44734</v>
      </c>
      <c r="D221" t="s">
        <v>62</v>
      </c>
      <c r="E221" t="s">
        <v>66</v>
      </c>
      <c r="F221">
        <v>130</v>
      </c>
      <c r="G221" t="s">
        <v>2</v>
      </c>
      <c r="H221" s="2">
        <v>2</v>
      </c>
      <c r="I221" s="16">
        <v>0.320164833885899</v>
      </c>
    </row>
    <row r="222" spans="1:9" x14ac:dyDescent="0.3">
      <c r="A222" t="s">
        <v>245</v>
      </c>
      <c r="B222" t="s">
        <v>55</v>
      </c>
      <c r="C222" s="1">
        <v>44753</v>
      </c>
      <c r="D222" t="s">
        <v>63</v>
      </c>
      <c r="E222" t="s">
        <v>67</v>
      </c>
      <c r="F222">
        <v>60</v>
      </c>
      <c r="G222" t="s">
        <v>0</v>
      </c>
      <c r="H222" s="2">
        <v>9</v>
      </c>
      <c r="I222" s="16">
        <v>0.13498450487731639</v>
      </c>
    </row>
    <row r="223" spans="1:9" x14ac:dyDescent="0.3">
      <c r="A223" t="s">
        <v>246</v>
      </c>
      <c r="B223" t="s">
        <v>56</v>
      </c>
      <c r="C223" s="1">
        <v>44739</v>
      </c>
      <c r="D223" t="s">
        <v>64</v>
      </c>
      <c r="E223" t="s">
        <v>66</v>
      </c>
      <c r="F223">
        <v>95</v>
      </c>
      <c r="G223" t="s">
        <v>1</v>
      </c>
      <c r="H223" s="2">
        <v>5</v>
      </c>
      <c r="I223" s="16">
        <v>0.91789593738279973</v>
      </c>
    </row>
    <row r="224" spans="1:9" x14ac:dyDescent="0.3">
      <c r="A224" t="s">
        <v>247</v>
      </c>
      <c r="B224" t="s">
        <v>51</v>
      </c>
      <c r="C224" s="1">
        <v>44740</v>
      </c>
      <c r="D224" t="s">
        <v>59</v>
      </c>
      <c r="E224" t="s">
        <v>66</v>
      </c>
      <c r="F224">
        <v>72</v>
      </c>
      <c r="G224" t="s">
        <v>2</v>
      </c>
      <c r="H224" s="2">
        <v>3</v>
      </c>
      <c r="I224" s="16">
        <v>0.98021726342122206</v>
      </c>
    </row>
    <row r="225" spans="1:9" x14ac:dyDescent="0.3">
      <c r="A225" t="s">
        <v>248</v>
      </c>
      <c r="B225" t="s">
        <v>52</v>
      </c>
      <c r="C225" s="1">
        <v>44748</v>
      </c>
      <c r="D225" t="s">
        <v>60</v>
      </c>
      <c r="E225" t="s">
        <v>66</v>
      </c>
      <c r="F225">
        <v>65</v>
      </c>
      <c r="G225" t="s">
        <v>0</v>
      </c>
      <c r="H225" s="2">
        <v>7</v>
      </c>
      <c r="I225" s="16">
        <v>6.7354248366482961E-2</v>
      </c>
    </row>
    <row r="226" spans="1:9" x14ac:dyDescent="0.3">
      <c r="A226" t="s">
        <v>249</v>
      </c>
      <c r="B226" t="s">
        <v>53</v>
      </c>
      <c r="C226" s="1">
        <v>44731</v>
      </c>
      <c r="D226" t="s">
        <v>61</v>
      </c>
      <c r="E226" t="s">
        <v>67</v>
      </c>
      <c r="F226">
        <v>250</v>
      </c>
      <c r="G226" t="s">
        <v>1</v>
      </c>
      <c r="H226" s="2">
        <v>2</v>
      </c>
      <c r="I226" s="16">
        <v>0.49907272133883429</v>
      </c>
    </row>
    <row r="227" spans="1:9" x14ac:dyDescent="0.3">
      <c r="A227" t="s">
        <v>250</v>
      </c>
      <c r="B227" t="s">
        <v>54</v>
      </c>
      <c r="C227" s="1">
        <v>44763</v>
      </c>
      <c r="D227" t="s">
        <v>62</v>
      </c>
      <c r="E227" t="s">
        <v>67</v>
      </c>
      <c r="F227">
        <v>130</v>
      </c>
      <c r="G227" t="s">
        <v>2</v>
      </c>
      <c r="H227" s="2">
        <v>5</v>
      </c>
      <c r="I227" s="16">
        <v>0.61466468459589796</v>
      </c>
    </row>
    <row r="228" spans="1:9" x14ac:dyDescent="0.3">
      <c r="A228" t="s">
        <v>251</v>
      </c>
      <c r="B228" t="s">
        <v>51</v>
      </c>
      <c r="C228" s="1">
        <v>44733</v>
      </c>
      <c r="D228" t="s">
        <v>59</v>
      </c>
      <c r="E228" t="s">
        <v>67</v>
      </c>
      <c r="F228">
        <v>72</v>
      </c>
      <c r="G228" t="s">
        <v>0</v>
      </c>
      <c r="H228" s="2">
        <v>7</v>
      </c>
      <c r="I228" s="16">
        <v>0.94639798804768638</v>
      </c>
    </row>
    <row r="229" spans="1:9" x14ac:dyDescent="0.3">
      <c r="A229" t="s">
        <v>252</v>
      </c>
      <c r="B229" t="s">
        <v>52</v>
      </c>
      <c r="C229" s="1">
        <v>44746</v>
      </c>
      <c r="D229" t="s">
        <v>60</v>
      </c>
      <c r="E229" t="s">
        <v>67</v>
      </c>
      <c r="F229">
        <v>65</v>
      </c>
      <c r="G229" t="s">
        <v>1</v>
      </c>
      <c r="H229" s="2">
        <v>10</v>
      </c>
      <c r="I229" s="16">
        <v>0.95168663838417633</v>
      </c>
    </row>
    <row r="230" spans="1:9" x14ac:dyDescent="0.3">
      <c r="A230" t="s">
        <v>253</v>
      </c>
      <c r="B230" t="s">
        <v>53</v>
      </c>
      <c r="C230" s="1">
        <v>44755</v>
      </c>
      <c r="D230" t="s">
        <v>61</v>
      </c>
      <c r="E230" t="s">
        <v>67</v>
      </c>
      <c r="F230">
        <v>250</v>
      </c>
      <c r="G230" t="s">
        <v>2</v>
      </c>
      <c r="H230" s="2">
        <v>2</v>
      </c>
      <c r="I230" s="16">
        <v>0.55958868077394219</v>
      </c>
    </row>
    <row r="231" spans="1:9" x14ac:dyDescent="0.3">
      <c r="A231" t="s">
        <v>254</v>
      </c>
      <c r="B231" t="s">
        <v>54</v>
      </c>
      <c r="C231" s="1">
        <v>44755</v>
      </c>
      <c r="D231" t="s">
        <v>62</v>
      </c>
      <c r="E231" t="s">
        <v>67</v>
      </c>
      <c r="F231">
        <v>130</v>
      </c>
      <c r="G231" t="s">
        <v>0</v>
      </c>
      <c r="H231" s="2">
        <v>2</v>
      </c>
      <c r="I231" s="16">
        <v>0.81003936677165544</v>
      </c>
    </row>
    <row r="232" spans="1:9" x14ac:dyDescent="0.3">
      <c r="A232" t="s">
        <v>255</v>
      </c>
      <c r="B232" t="s">
        <v>51</v>
      </c>
      <c r="C232" s="1">
        <v>44727</v>
      </c>
      <c r="D232" t="s">
        <v>59</v>
      </c>
      <c r="E232" t="s">
        <v>67</v>
      </c>
      <c r="F232">
        <v>72</v>
      </c>
      <c r="G232" t="s">
        <v>0</v>
      </c>
      <c r="H232" s="2">
        <v>12</v>
      </c>
      <c r="I232" s="16">
        <v>0.35450072343254235</v>
      </c>
    </row>
    <row r="233" spans="1:9" x14ac:dyDescent="0.3">
      <c r="A233" t="s">
        <v>256</v>
      </c>
      <c r="B233" t="s">
        <v>52</v>
      </c>
      <c r="C233" s="1">
        <v>44746</v>
      </c>
      <c r="D233" t="s">
        <v>60</v>
      </c>
      <c r="E233" t="s">
        <v>66</v>
      </c>
      <c r="F233">
        <v>65</v>
      </c>
      <c r="G233" t="s">
        <v>1</v>
      </c>
      <c r="H233" s="2">
        <v>11</v>
      </c>
      <c r="I233" s="16">
        <v>0.34895469608332785</v>
      </c>
    </row>
    <row r="234" spans="1:9" x14ac:dyDescent="0.3">
      <c r="A234" t="s">
        <v>257</v>
      </c>
      <c r="B234" t="s">
        <v>53</v>
      </c>
      <c r="C234" s="1">
        <v>44740</v>
      </c>
      <c r="D234" t="s">
        <v>61</v>
      </c>
      <c r="E234" t="s">
        <v>66</v>
      </c>
      <c r="F234">
        <v>250</v>
      </c>
      <c r="G234" t="s">
        <v>2</v>
      </c>
      <c r="H234" s="2">
        <v>2</v>
      </c>
      <c r="I234" s="16">
        <v>0.52279578451533193</v>
      </c>
    </row>
    <row r="235" spans="1:9" x14ac:dyDescent="0.3">
      <c r="A235" t="s">
        <v>258</v>
      </c>
      <c r="B235" t="s">
        <v>54</v>
      </c>
      <c r="C235" s="1">
        <v>44743</v>
      </c>
      <c r="D235" t="s">
        <v>62</v>
      </c>
      <c r="E235" t="s">
        <v>66</v>
      </c>
      <c r="F235">
        <v>130</v>
      </c>
      <c r="G235" t="s">
        <v>0</v>
      </c>
      <c r="H235" s="2">
        <v>3</v>
      </c>
      <c r="I235" s="16">
        <v>0.69617887937852907</v>
      </c>
    </row>
    <row r="236" spans="1:9" x14ac:dyDescent="0.3">
      <c r="A236" t="s">
        <v>259</v>
      </c>
      <c r="B236" t="s">
        <v>51</v>
      </c>
      <c r="C236" s="1">
        <v>44737</v>
      </c>
      <c r="D236" t="s">
        <v>59</v>
      </c>
      <c r="E236" t="s">
        <v>67</v>
      </c>
      <c r="F236">
        <v>72</v>
      </c>
      <c r="G236" t="s">
        <v>1</v>
      </c>
      <c r="H236" s="2">
        <v>6</v>
      </c>
      <c r="I236" s="16">
        <v>0.55638354082081654</v>
      </c>
    </row>
    <row r="237" spans="1:9" x14ac:dyDescent="0.3">
      <c r="A237" t="s">
        <v>260</v>
      </c>
      <c r="B237" t="s">
        <v>52</v>
      </c>
      <c r="C237" s="1">
        <v>44757</v>
      </c>
      <c r="D237" t="s">
        <v>60</v>
      </c>
      <c r="E237" t="s">
        <v>67</v>
      </c>
      <c r="F237">
        <v>65</v>
      </c>
      <c r="G237" t="s">
        <v>2</v>
      </c>
      <c r="H237" s="2">
        <v>8</v>
      </c>
      <c r="I237" s="16">
        <v>7.8132692098414003E-2</v>
      </c>
    </row>
    <row r="238" spans="1:9" x14ac:dyDescent="0.3">
      <c r="A238" t="s">
        <v>261</v>
      </c>
      <c r="B238" t="s">
        <v>53</v>
      </c>
      <c r="C238" s="1">
        <v>44745</v>
      </c>
      <c r="D238" t="s">
        <v>61</v>
      </c>
      <c r="E238" t="s">
        <v>67</v>
      </c>
      <c r="F238">
        <v>250</v>
      </c>
      <c r="G238" t="s">
        <v>0</v>
      </c>
      <c r="H238" s="2">
        <v>1</v>
      </c>
      <c r="I238" s="16">
        <v>0.37783112687678633</v>
      </c>
    </row>
    <row r="239" spans="1:9" x14ac:dyDescent="0.3">
      <c r="A239" t="s">
        <v>262</v>
      </c>
      <c r="B239" t="s">
        <v>54</v>
      </c>
      <c r="C239" s="1">
        <v>44760</v>
      </c>
      <c r="D239" t="s">
        <v>62</v>
      </c>
      <c r="E239" t="s">
        <v>67</v>
      </c>
      <c r="F239">
        <v>130</v>
      </c>
      <c r="G239" t="s">
        <v>1</v>
      </c>
      <c r="H239" s="2">
        <v>7</v>
      </c>
      <c r="I239" s="16">
        <v>0.34200944354303275</v>
      </c>
    </row>
    <row r="240" spans="1:9" x14ac:dyDescent="0.3">
      <c r="A240" t="s">
        <v>263</v>
      </c>
      <c r="B240" t="s">
        <v>55</v>
      </c>
      <c r="C240" s="1">
        <v>44750</v>
      </c>
      <c r="D240" t="s">
        <v>63</v>
      </c>
      <c r="E240" t="s">
        <v>67</v>
      </c>
      <c r="F240">
        <v>60</v>
      </c>
      <c r="G240" t="s">
        <v>2</v>
      </c>
      <c r="H240" s="2">
        <v>11</v>
      </c>
      <c r="I240" s="16">
        <v>0.92737976442865855</v>
      </c>
    </row>
    <row r="241" spans="1:9" x14ac:dyDescent="0.3">
      <c r="A241" t="s">
        <v>264</v>
      </c>
      <c r="B241" t="s">
        <v>51</v>
      </c>
      <c r="C241" s="1">
        <v>44742</v>
      </c>
      <c r="D241" t="s">
        <v>59</v>
      </c>
      <c r="E241" t="s">
        <v>67</v>
      </c>
      <c r="F241">
        <v>72</v>
      </c>
      <c r="G241" t="s">
        <v>0</v>
      </c>
      <c r="H241" s="2">
        <v>6</v>
      </c>
      <c r="I241" s="16">
        <v>0.96938667185148797</v>
      </c>
    </row>
    <row r="242" spans="1:9" x14ac:dyDescent="0.3">
      <c r="A242" t="s">
        <v>265</v>
      </c>
      <c r="B242" t="s">
        <v>52</v>
      </c>
      <c r="C242" s="1">
        <v>44754</v>
      </c>
      <c r="D242" t="s">
        <v>60</v>
      </c>
      <c r="E242" t="s">
        <v>67</v>
      </c>
      <c r="F242">
        <v>65</v>
      </c>
      <c r="G242" t="s">
        <v>1</v>
      </c>
      <c r="H242" s="2">
        <v>6</v>
      </c>
      <c r="I242" s="16">
        <v>0.24406307827004359</v>
      </c>
    </row>
    <row r="243" spans="1:9" x14ac:dyDescent="0.3">
      <c r="A243" t="s">
        <v>266</v>
      </c>
      <c r="B243" t="s">
        <v>53</v>
      </c>
      <c r="C243" s="1">
        <v>44746</v>
      </c>
      <c r="D243" t="s">
        <v>61</v>
      </c>
      <c r="E243" t="s">
        <v>66</v>
      </c>
      <c r="F243">
        <v>250</v>
      </c>
      <c r="G243" t="s">
        <v>2</v>
      </c>
      <c r="H243" s="2">
        <v>2</v>
      </c>
      <c r="I243" s="16">
        <v>0.931057824254786</v>
      </c>
    </row>
    <row r="244" spans="1:9" x14ac:dyDescent="0.3">
      <c r="A244" t="s">
        <v>267</v>
      </c>
      <c r="B244" t="s">
        <v>54</v>
      </c>
      <c r="C244" s="1">
        <v>44752</v>
      </c>
      <c r="D244" t="s">
        <v>62</v>
      </c>
      <c r="E244" t="s">
        <v>66</v>
      </c>
      <c r="F244">
        <v>130</v>
      </c>
      <c r="G244" t="s">
        <v>0</v>
      </c>
      <c r="H244" s="2">
        <v>4</v>
      </c>
      <c r="I244" s="16">
        <v>0.67570229189541975</v>
      </c>
    </row>
    <row r="245" spans="1:9" x14ac:dyDescent="0.3">
      <c r="A245" t="s">
        <v>268</v>
      </c>
      <c r="B245" t="s">
        <v>51</v>
      </c>
      <c r="C245" s="1">
        <v>44725</v>
      </c>
      <c r="D245" t="s">
        <v>59</v>
      </c>
      <c r="E245" t="s">
        <v>66</v>
      </c>
      <c r="F245">
        <v>72</v>
      </c>
      <c r="G245" t="s">
        <v>1</v>
      </c>
      <c r="H245" s="2">
        <v>7</v>
      </c>
      <c r="I245" s="16">
        <v>0.91192982577548221</v>
      </c>
    </row>
    <row r="246" spans="1:9" x14ac:dyDescent="0.3">
      <c r="A246" t="s">
        <v>269</v>
      </c>
      <c r="B246" t="s">
        <v>52</v>
      </c>
      <c r="C246" s="1">
        <v>44734</v>
      </c>
      <c r="D246" t="s">
        <v>60</v>
      </c>
      <c r="E246" t="s">
        <v>67</v>
      </c>
      <c r="F246">
        <v>65</v>
      </c>
      <c r="G246" t="s">
        <v>2</v>
      </c>
      <c r="H246" s="2">
        <v>13</v>
      </c>
      <c r="I246" s="16">
        <v>0.46313611506175134</v>
      </c>
    </row>
    <row r="247" spans="1:9" x14ac:dyDescent="0.3">
      <c r="A247" t="s">
        <v>270</v>
      </c>
      <c r="B247" t="s">
        <v>53</v>
      </c>
      <c r="C247" s="1">
        <v>44761</v>
      </c>
      <c r="D247" t="s">
        <v>61</v>
      </c>
      <c r="E247" t="s">
        <v>67</v>
      </c>
      <c r="F247">
        <v>250</v>
      </c>
      <c r="G247" t="s">
        <v>0</v>
      </c>
      <c r="H247" s="2">
        <v>1</v>
      </c>
      <c r="I247" s="16">
        <v>5.3530222562513607E-2</v>
      </c>
    </row>
    <row r="248" spans="1:9" x14ac:dyDescent="0.3">
      <c r="A248" t="s">
        <v>271</v>
      </c>
      <c r="B248" t="s">
        <v>54</v>
      </c>
      <c r="C248" s="1">
        <v>44735</v>
      </c>
      <c r="D248" t="s">
        <v>62</v>
      </c>
      <c r="E248" t="s">
        <v>67</v>
      </c>
      <c r="F248">
        <v>130</v>
      </c>
      <c r="G248" t="s">
        <v>1</v>
      </c>
      <c r="H248" s="2">
        <v>2</v>
      </c>
      <c r="I248" s="16">
        <v>0.10135414856508229</v>
      </c>
    </row>
    <row r="249" spans="1:9" x14ac:dyDescent="0.3">
      <c r="A249" t="s">
        <v>272</v>
      </c>
      <c r="B249" t="s">
        <v>55</v>
      </c>
      <c r="C249" s="1">
        <v>44753</v>
      </c>
      <c r="D249" t="s">
        <v>63</v>
      </c>
      <c r="E249" t="s">
        <v>67</v>
      </c>
      <c r="F249">
        <v>60</v>
      </c>
      <c r="G249" t="s">
        <v>2</v>
      </c>
      <c r="H249" s="2">
        <v>10</v>
      </c>
      <c r="I249" s="16">
        <v>0.15413196820236597</v>
      </c>
    </row>
    <row r="250" spans="1:9" x14ac:dyDescent="0.3">
      <c r="A250" t="s">
        <v>273</v>
      </c>
      <c r="B250" t="s">
        <v>56</v>
      </c>
      <c r="C250" s="1">
        <v>44732</v>
      </c>
      <c r="D250" t="s">
        <v>64</v>
      </c>
      <c r="E250" t="s">
        <v>67</v>
      </c>
      <c r="F250">
        <v>95</v>
      </c>
      <c r="G250" t="s">
        <v>0</v>
      </c>
      <c r="H250" s="2">
        <v>4</v>
      </c>
      <c r="I250" s="16">
        <v>0.99147229272651061</v>
      </c>
    </row>
    <row r="251" spans="1:9" x14ac:dyDescent="0.3">
      <c r="A251" t="s">
        <v>274</v>
      </c>
      <c r="B251" t="s">
        <v>51</v>
      </c>
      <c r="C251" s="1">
        <v>44748</v>
      </c>
      <c r="D251" t="s">
        <v>59</v>
      </c>
      <c r="E251" t="s">
        <v>67</v>
      </c>
      <c r="F251">
        <v>72</v>
      </c>
      <c r="G251" t="s">
        <v>1</v>
      </c>
      <c r="H251" s="2">
        <v>4</v>
      </c>
      <c r="I251" s="16">
        <v>0.26792541838229555</v>
      </c>
    </row>
    <row r="252" spans="1:9" x14ac:dyDescent="0.3">
      <c r="A252" t="s">
        <v>275</v>
      </c>
      <c r="B252" t="s">
        <v>52</v>
      </c>
      <c r="C252" s="1">
        <v>44731</v>
      </c>
      <c r="D252" t="s">
        <v>60</v>
      </c>
      <c r="E252" t="s">
        <v>67</v>
      </c>
      <c r="F252">
        <v>65</v>
      </c>
      <c r="G252" t="s">
        <v>2</v>
      </c>
      <c r="H252" s="2">
        <v>7</v>
      </c>
      <c r="I252" s="16">
        <v>0.67400237007588726</v>
      </c>
    </row>
    <row r="253" spans="1:9" x14ac:dyDescent="0.3">
      <c r="A253" t="s">
        <v>276</v>
      </c>
      <c r="B253" t="s">
        <v>53</v>
      </c>
      <c r="C253" s="1">
        <v>44725</v>
      </c>
      <c r="D253" t="s">
        <v>61</v>
      </c>
      <c r="E253" t="s">
        <v>66</v>
      </c>
      <c r="F253">
        <v>250</v>
      </c>
      <c r="G253" t="s">
        <v>0</v>
      </c>
      <c r="H253" s="2">
        <v>2</v>
      </c>
      <c r="I253" s="16">
        <v>0.10779012567415547</v>
      </c>
    </row>
    <row r="254" spans="1:9" x14ac:dyDescent="0.3">
      <c r="A254" t="s">
        <v>277</v>
      </c>
      <c r="B254" t="s">
        <v>54</v>
      </c>
      <c r="C254" s="1">
        <v>44753</v>
      </c>
      <c r="D254" t="s">
        <v>62</v>
      </c>
      <c r="E254" t="s">
        <v>66</v>
      </c>
      <c r="F254">
        <v>130</v>
      </c>
      <c r="G254" t="s">
        <v>1</v>
      </c>
      <c r="H254" s="2">
        <v>4</v>
      </c>
      <c r="I254" s="16">
        <v>6.5825812137458972E-2</v>
      </c>
    </row>
    <row r="255" spans="1:9" x14ac:dyDescent="0.3">
      <c r="A255" t="s">
        <v>278</v>
      </c>
      <c r="B255" t="s">
        <v>51</v>
      </c>
      <c r="C255" s="1">
        <v>44738</v>
      </c>
      <c r="D255" t="s">
        <v>59</v>
      </c>
      <c r="E255" t="s">
        <v>66</v>
      </c>
      <c r="F255">
        <v>72</v>
      </c>
      <c r="G255" t="s">
        <v>2</v>
      </c>
      <c r="H255" s="2">
        <v>11</v>
      </c>
      <c r="I255" s="16">
        <v>0.36167362480508147</v>
      </c>
    </row>
    <row r="256" spans="1:9" x14ac:dyDescent="0.3">
      <c r="A256" t="s">
        <v>279</v>
      </c>
      <c r="B256" t="s">
        <v>52</v>
      </c>
      <c r="C256" s="1">
        <v>44762</v>
      </c>
      <c r="D256" t="s">
        <v>60</v>
      </c>
      <c r="E256" t="s">
        <v>67</v>
      </c>
      <c r="F256">
        <v>65</v>
      </c>
      <c r="G256" t="s">
        <v>0</v>
      </c>
      <c r="H256" s="2">
        <v>9</v>
      </c>
      <c r="I256" s="16">
        <v>0.15611277710708626</v>
      </c>
    </row>
    <row r="257" spans="1:9" x14ac:dyDescent="0.3">
      <c r="A257" t="s">
        <v>280</v>
      </c>
      <c r="B257" t="s">
        <v>53</v>
      </c>
      <c r="C257" s="1">
        <v>44756</v>
      </c>
      <c r="D257" t="s">
        <v>61</v>
      </c>
      <c r="E257" t="s">
        <v>67</v>
      </c>
      <c r="F257">
        <v>250</v>
      </c>
      <c r="G257" t="s">
        <v>1</v>
      </c>
      <c r="H257" s="2">
        <v>2</v>
      </c>
      <c r="I257" s="16">
        <v>0.11892962947938523</v>
      </c>
    </row>
    <row r="258" spans="1:9" x14ac:dyDescent="0.3">
      <c r="A258" t="s">
        <v>281</v>
      </c>
      <c r="B258" t="s">
        <v>54</v>
      </c>
      <c r="C258" s="1">
        <v>44744</v>
      </c>
      <c r="D258" t="s">
        <v>62</v>
      </c>
      <c r="E258" t="s">
        <v>67</v>
      </c>
      <c r="F258">
        <v>130</v>
      </c>
      <c r="G258" t="s">
        <v>2</v>
      </c>
      <c r="H258" s="2">
        <v>5</v>
      </c>
      <c r="I258" s="16">
        <v>0.94178498482348294</v>
      </c>
    </row>
    <row r="259" spans="1:9" x14ac:dyDescent="0.3">
      <c r="A259" t="s">
        <v>282</v>
      </c>
      <c r="B259" t="s">
        <v>55</v>
      </c>
      <c r="C259" s="1">
        <v>44753</v>
      </c>
      <c r="D259" t="s">
        <v>63</v>
      </c>
      <c r="E259" t="s">
        <v>67</v>
      </c>
      <c r="F259">
        <v>60</v>
      </c>
      <c r="G259" t="s">
        <v>0</v>
      </c>
      <c r="H259" s="2">
        <v>5</v>
      </c>
      <c r="I259" s="16">
        <v>0.82224390590219021</v>
      </c>
    </row>
    <row r="260" spans="1:9" x14ac:dyDescent="0.3">
      <c r="A260" t="s">
        <v>283</v>
      </c>
      <c r="B260" t="s">
        <v>51</v>
      </c>
      <c r="C260" s="1">
        <v>44762</v>
      </c>
      <c r="D260" t="s">
        <v>59</v>
      </c>
      <c r="E260" t="s">
        <v>67</v>
      </c>
      <c r="F260">
        <v>72</v>
      </c>
      <c r="G260" t="s">
        <v>1</v>
      </c>
      <c r="H260" s="2">
        <v>10</v>
      </c>
      <c r="I260" s="16">
        <v>1.5473035826796155E-2</v>
      </c>
    </row>
    <row r="261" spans="1:9" x14ac:dyDescent="0.3">
      <c r="A261" t="s">
        <v>284</v>
      </c>
      <c r="B261" t="s">
        <v>52</v>
      </c>
      <c r="C261" s="1">
        <v>44740</v>
      </c>
      <c r="D261" t="s">
        <v>60</v>
      </c>
      <c r="E261" t="s">
        <v>67</v>
      </c>
      <c r="F261">
        <v>65</v>
      </c>
      <c r="G261" t="s">
        <v>2</v>
      </c>
      <c r="H261" s="2">
        <v>3</v>
      </c>
      <c r="I261" s="16">
        <v>0.57002189482885535</v>
      </c>
    </row>
    <row r="262" spans="1:9" x14ac:dyDescent="0.3">
      <c r="A262" t="s">
        <v>285</v>
      </c>
      <c r="B262" t="s">
        <v>53</v>
      </c>
      <c r="C262" s="1">
        <v>44729</v>
      </c>
      <c r="D262" t="s">
        <v>61</v>
      </c>
      <c r="E262" t="s">
        <v>66</v>
      </c>
      <c r="F262">
        <v>250</v>
      </c>
      <c r="G262" t="s">
        <v>0</v>
      </c>
      <c r="H262" s="2">
        <v>3</v>
      </c>
      <c r="I262" s="16">
        <v>0.22169123462523532</v>
      </c>
    </row>
    <row r="263" spans="1:9" x14ac:dyDescent="0.3">
      <c r="A263" t="s">
        <v>286</v>
      </c>
      <c r="B263" t="s">
        <v>54</v>
      </c>
      <c r="C263" s="1">
        <v>44727</v>
      </c>
      <c r="D263" t="s">
        <v>62</v>
      </c>
      <c r="E263" t="s">
        <v>67</v>
      </c>
      <c r="F263">
        <v>130</v>
      </c>
      <c r="G263" t="s">
        <v>1</v>
      </c>
      <c r="H263" s="2">
        <v>6</v>
      </c>
      <c r="I263" s="16">
        <v>0.16327712663351335</v>
      </c>
    </row>
    <row r="264" spans="1:9" x14ac:dyDescent="0.3">
      <c r="A264" t="s">
        <v>287</v>
      </c>
      <c r="B264" t="s">
        <v>51</v>
      </c>
      <c r="C264" s="1">
        <v>44734</v>
      </c>
      <c r="D264" t="s">
        <v>59</v>
      </c>
      <c r="E264" t="s">
        <v>66</v>
      </c>
      <c r="F264">
        <v>72</v>
      </c>
      <c r="G264" t="s">
        <v>2</v>
      </c>
      <c r="H264" s="2">
        <v>9</v>
      </c>
      <c r="I264" s="16">
        <v>0.71431849239690393</v>
      </c>
    </row>
    <row r="265" spans="1:9" x14ac:dyDescent="0.3">
      <c r="A265" t="s">
        <v>288</v>
      </c>
      <c r="B265" t="s">
        <v>52</v>
      </c>
      <c r="C265" s="1">
        <v>44744</v>
      </c>
      <c r="D265" t="s">
        <v>60</v>
      </c>
      <c r="E265" t="s">
        <v>67</v>
      </c>
      <c r="F265">
        <v>65</v>
      </c>
      <c r="G265" t="s">
        <v>0</v>
      </c>
      <c r="H265" s="2">
        <v>7</v>
      </c>
      <c r="I265" s="16">
        <v>0.58151491016386692</v>
      </c>
    </row>
    <row r="266" spans="1:9" x14ac:dyDescent="0.3">
      <c r="A266" t="s">
        <v>289</v>
      </c>
      <c r="B266" t="s">
        <v>53</v>
      </c>
      <c r="C266" s="1">
        <v>44737</v>
      </c>
      <c r="D266" t="s">
        <v>61</v>
      </c>
      <c r="E266" t="s">
        <v>66</v>
      </c>
      <c r="F266">
        <v>250</v>
      </c>
      <c r="G266" t="s">
        <v>1</v>
      </c>
      <c r="H266" s="2">
        <v>1</v>
      </c>
      <c r="I266" s="16">
        <v>0.94025500085845537</v>
      </c>
    </row>
    <row r="267" spans="1:9" x14ac:dyDescent="0.3">
      <c r="A267" t="s">
        <v>290</v>
      </c>
      <c r="B267" t="s">
        <v>54</v>
      </c>
      <c r="C267" s="1">
        <v>44752</v>
      </c>
      <c r="D267" t="s">
        <v>62</v>
      </c>
      <c r="E267" t="s">
        <v>67</v>
      </c>
      <c r="F267">
        <v>130</v>
      </c>
      <c r="G267" t="s">
        <v>2</v>
      </c>
      <c r="H267" s="2">
        <v>3</v>
      </c>
      <c r="I267" s="16">
        <v>0.85696007733376245</v>
      </c>
    </row>
    <row r="268" spans="1:9" x14ac:dyDescent="0.3">
      <c r="A268" t="s">
        <v>291</v>
      </c>
      <c r="B268" t="s">
        <v>55</v>
      </c>
      <c r="C268" s="1">
        <v>44736</v>
      </c>
      <c r="D268" t="s">
        <v>63</v>
      </c>
      <c r="E268" t="s">
        <v>66</v>
      </c>
      <c r="F268">
        <v>60</v>
      </c>
      <c r="G268" t="s">
        <v>0</v>
      </c>
      <c r="H268" s="2">
        <v>6</v>
      </c>
      <c r="I268" s="16">
        <v>0.73704670632037661</v>
      </c>
    </row>
    <row r="269" spans="1:9" x14ac:dyDescent="0.3">
      <c r="A269" t="s">
        <v>292</v>
      </c>
      <c r="B269" t="s">
        <v>56</v>
      </c>
      <c r="C269" s="1">
        <v>44752</v>
      </c>
      <c r="D269" t="s">
        <v>64</v>
      </c>
      <c r="E269" t="s">
        <v>67</v>
      </c>
      <c r="F269">
        <v>95</v>
      </c>
      <c r="G269" t="s">
        <v>1</v>
      </c>
      <c r="H269" s="2">
        <v>5</v>
      </c>
      <c r="I269" s="16">
        <v>0.99556674564351355</v>
      </c>
    </row>
    <row r="270" spans="1:9" x14ac:dyDescent="0.3">
      <c r="A270" t="s">
        <v>293</v>
      </c>
      <c r="B270" t="s">
        <v>51</v>
      </c>
      <c r="C270" s="1">
        <v>44759</v>
      </c>
      <c r="D270" t="s">
        <v>59</v>
      </c>
      <c r="E270" t="s">
        <v>66</v>
      </c>
      <c r="F270">
        <v>72</v>
      </c>
      <c r="G270" t="s">
        <v>2</v>
      </c>
      <c r="H270" s="2">
        <v>8</v>
      </c>
      <c r="I270" s="16">
        <v>0.82336237784945987</v>
      </c>
    </row>
    <row r="271" spans="1:9" x14ac:dyDescent="0.3">
      <c r="A271" t="s">
        <v>294</v>
      </c>
      <c r="B271" t="s">
        <v>52</v>
      </c>
      <c r="C271" s="1">
        <v>44763</v>
      </c>
      <c r="D271" t="s">
        <v>60</v>
      </c>
      <c r="E271" t="s">
        <v>67</v>
      </c>
      <c r="F271">
        <v>65</v>
      </c>
      <c r="G271" t="s">
        <v>0</v>
      </c>
      <c r="H271" s="2">
        <v>13</v>
      </c>
      <c r="I271" s="16">
        <v>0.21429857063805535</v>
      </c>
    </row>
    <row r="272" spans="1:9" x14ac:dyDescent="0.3">
      <c r="A272" t="s">
        <v>295</v>
      </c>
      <c r="B272" t="s">
        <v>53</v>
      </c>
      <c r="C272" s="1">
        <v>44763</v>
      </c>
      <c r="D272" t="s">
        <v>61</v>
      </c>
      <c r="E272" t="s">
        <v>66</v>
      </c>
      <c r="F272">
        <v>250</v>
      </c>
      <c r="G272" t="s">
        <v>1</v>
      </c>
      <c r="H272" s="2">
        <v>2</v>
      </c>
      <c r="I272" s="16">
        <v>0.9858246368711242</v>
      </c>
    </row>
    <row r="273" spans="1:9" x14ac:dyDescent="0.3">
      <c r="A273" t="s">
        <v>296</v>
      </c>
      <c r="B273" t="s">
        <v>54</v>
      </c>
      <c r="C273" s="1">
        <v>44750</v>
      </c>
      <c r="D273" t="s">
        <v>62</v>
      </c>
      <c r="E273" t="s">
        <v>67</v>
      </c>
      <c r="F273">
        <v>130</v>
      </c>
      <c r="G273" t="s">
        <v>2</v>
      </c>
      <c r="H273" s="2">
        <v>6</v>
      </c>
      <c r="I273" s="16">
        <v>2.0787857004193944E-2</v>
      </c>
    </row>
    <row r="274" spans="1:9" x14ac:dyDescent="0.3">
      <c r="A274" t="s">
        <v>297</v>
      </c>
      <c r="B274" t="s">
        <v>51</v>
      </c>
      <c r="C274" s="1">
        <v>44751</v>
      </c>
      <c r="D274" t="s">
        <v>59</v>
      </c>
      <c r="E274" t="s">
        <v>66</v>
      </c>
      <c r="F274">
        <v>72</v>
      </c>
      <c r="G274" t="s">
        <v>0</v>
      </c>
      <c r="H274" s="2">
        <v>8</v>
      </c>
      <c r="I274" s="16">
        <v>0.4043041551106823</v>
      </c>
    </row>
    <row r="275" spans="1:9" x14ac:dyDescent="0.3">
      <c r="A275" t="s">
        <v>298</v>
      </c>
      <c r="B275" t="s">
        <v>52</v>
      </c>
      <c r="C275" s="1">
        <v>44736</v>
      </c>
      <c r="D275" t="s">
        <v>60</v>
      </c>
      <c r="E275" t="s">
        <v>67</v>
      </c>
      <c r="F275">
        <v>65</v>
      </c>
      <c r="G275" t="s">
        <v>1</v>
      </c>
      <c r="H275" s="2">
        <v>6</v>
      </c>
      <c r="I275" s="16">
        <v>0.86228936216370378</v>
      </c>
    </row>
    <row r="276" spans="1:9" x14ac:dyDescent="0.3">
      <c r="A276" t="s">
        <v>299</v>
      </c>
      <c r="B276" t="s">
        <v>53</v>
      </c>
      <c r="C276" s="1">
        <v>44737</v>
      </c>
      <c r="D276" t="s">
        <v>61</v>
      </c>
      <c r="E276" t="s">
        <v>66</v>
      </c>
      <c r="F276">
        <v>250</v>
      </c>
      <c r="G276" t="s">
        <v>2</v>
      </c>
      <c r="H276" s="2">
        <v>3</v>
      </c>
      <c r="I276" s="16">
        <v>0.20267200262393703</v>
      </c>
    </row>
    <row r="277" spans="1:9" x14ac:dyDescent="0.3">
      <c r="A277" t="s">
        <v>300</v>
      </c>
      <c r="B277" t="s">
        <v>54</v>
      </c>
      <c r="C277" s="1">
        <v>44744</v>
      </c>
      <c r="D277" t="s">
        <v>59</v>
      </c>
      <c r="E277" t="s">
        <v>67</v>
      </c>
      <c r="F277">
        <v>72</v>
      </c>
      <c r="G277" t="s">
        <v>0</v>
      </c>
      <c r="H277" s="2">
        <v>6</v>
      </c>
      <c r="I277" s="16">
        <v>0.42721330596562979</v>
      </c>
    </row>
    <row r="278" spans="1:9" x14ac:dyDescent="0.3">
      <c r="A278" t="s">
        <v>301</v>
      </c>
      <c r="B278" t="s">
        <v>51</v>
      </c>
      <c r="C278" s="1">
        <v>44735</v>
      </c>
      <c r="D278" t="s">
        <v>60</v>
      </c>
      <c r="E278" t="s">
        <v>66</v>
      </c>
      <c r="F278">
        <v>65</v>
      </c>
      <c r="G278" t="s">
        <v>0</v>
      </c>
      <c r="H278" s="2">
        <v>13</v>
      </c>
      <c r="I278" s="16">
        <v>0.87108149970897442</v>
      </c>
    </row>
    <row r="279" spans="1:9" x14ac:dyDescent="0.3">
      <c r="A279" t="s">
        <v>302</v>
      </c>
      <c r="B279" t="s">
        <v>52</v>
      </c>
      <c r="C279" s="1">
        <v>44751</v>
      </c>
      <c r="D279" t="s">
        <v>61</v>
      </c>
      <c r="E279" t="s">
        <v>67</v>
      </c>
      <c r="F279">
        <v>250</v>
      </c>
      <c r="G279" t="s">
        <v>1</v>
      </c>
      <c r="H279" s="2">
        <v>1</v>
      </c>
      <c r="I279" s="16">
        <v>2.6358009716956676E-2</v>
      </c>
    </row>
    <row r="280" spans="1:9" x14ac:dyDescent="0.3">
      <c r="A280" t="s">
        <v>303</v>
      </c>
      <c r="B280" t="s">
        <v>53</v>
      </c>
      <c r="C280" s="1">
        <v>44726</v>
      </c>
      <c r="D280" t="s">
        <v>62</v>
      </c>
      <c r="E280" t="s">
        <v>67</v>
      </c>
      <c r="F280">
        <v>130</v>
      </c>
      <c r="G280" t="s">
        <v>2</v>
      </c>
      <c r="H280" s="2">
        <v>3</v>
      </c>
      <c r="I280" s="16">
        <v>0.77767785740350603</v>
      </c>
    </row>
    <row r="281" spans="1:9" x14ac:dyDescent="0.3">
      <c r="A281" t="s">
        <v>304</v>
      </c>
      <c r="B281" t="s">
        <v>54</v>
      </c>
      <c r="C281" s="1">
        <v>44749</v>
      </c>
      <c r="D281" t="s">
        <v>59</v>
      </c>
      <c r="E281" t="s">
        <v>67</v>
      </c>
      <c r="F281">
        <v>72</v>
      </c>
      <c r="G281" t="s">
        <v>0</v>
      </c>
      <c r="H281" s="2">
        <v>3</v>
      </c>
      <c r="I281" s="16">
        <v>0.68682565144107521</v>
      </c>
    </row>
    <row r="282" spans="1:9" x14ac:dyDescent="0.3">
      <c r="A282" t="s">
        <v>305</v>
      </c>
      <c r="B282" t="s">
        <v>51</v>
      </c>
      <c r="C282" s="1">
        <v>44734</v>
      </c>
      <c r="D282" t="s">
        <v>60</v>
      </c>
      <c r="E282" t="s">
        <v>67</v>
      </c>
      <c r="F282">
        <v>65</v>
      </c>
      <c r="G282" t="s">
        <v>1</v>
      </c>
      <c r="H282" s="2">
        <v>14</v>
      </c>
      <c r="I282" s="16">
        <v>0.58269109940879071</v>
      </c>
    </row>
    <row r="283" spans="1:9" x14ac:dyDescent="0.3">
      <c r="A283" t="s">
        <v>306</v>
      </c>
      <c r="B283" t="s">
        <v>52</v>
      </c>
      <c r="C283" s="1">
        <v>44726</v>
      </c>
      <c r="D283" t="s">
        <v>61</v>
      </c>
      <c r="E283" t="s">
        <v>67</v>
      </c>
      <c r="F283">
        <v>250</v>
      </c>
      <c r="G283" t="s">
        <v>2</v>
      </c>
      <c r="H283" s="2">
        <v>3</v>
      </c>
      <c r="I283" s="16">
        <v>0.44339908275720785</v>
      </c>
    </row>
    <row r="284" spans="1:9" x14ac:dyDescent="0.3">
      <c r="A284" t="s">
        <v>307</v>
      </c>
      <c r="B284" t="s">
        <v>53</v>
      </c>
      <c r="C284" s="1">
        <v>44743</v>
      </c>
      <c r="D284" t="s">
        <v>62</v>
      </c>
      <c r="E284" t="s">
        <v>66</v>
      </c>
      <c r="F284">
        <v>130</v>
      </c>
      <c r="G284" t="s">
        <v>0</v>
      </c>
      <c r="H284" s="2">
        <v>3</v>
      </c>
      <c r="I284" s="16">
        <v>0.12575036810320794</v>
      </c>
    </row>
    <row r="285" spans="1:9" x14ac:dyDescent="0.3">
      <c r="A285" t="s">
        <v>308</v>
      </c>
      <c r="B285" t="s">
        <v>54</v>
      </c>
      <c r="C285" s="1">
        <v>44742</v>
      </c>
      <c r="D285" t="s">
        <v>63</v>
      </c>
      <c r="E285" t="s">
        <v>67</v>
      </c>
      <c r="F285">
        <v>60</v>
      </c>
      <c r="G285" t="s">
        <v>1</v>
      </c>
      <c r="H285" s="2">
        <v>13</v>
      </c>
      <c r="I285" s="16">
        <v>0.58443763111426095</v>
      </c>
    </row>
    <row r="286" spans="1:9" x14ac:dyDescent="0.3">
      <c r="A286" t="s">
        <v>309</v>
      </c>
      <c r="B286" t="s">
        <v>55</v>
      </c>
      <c r="C286" s="1">
        <v>44747</v>
      </c>
      <c r="D286" t="s">
        <v>59</v>
      </c>
      <c r="E286" t="s">
        <v>66</v>
      </c>
      <c r="F286">
        <v>72</v>
      </c>
      <c r="G286" t="s">
        <v>2</v>
      </c>
      <c r="H286" s="2">
        <v>11</v>
      </c>
      <c r="I286" s="16">
        <v>0.20269838427382159</v>
      </c>
    </row>
    <row r="287" spans="1:9" x14ac:dyDescent="0.3">
      <c r="A287" t="s">
        <v>310</v>
      </c>
      <c r="B287" t="s">
        <v>51</v>
      </c>
      <c r="C287" s="1">
        <v>44764</v>
      </c>
      <c r="D287" t="s">
        <v>60</v>
      </c>
      <c r="E287" t="s">
        <v>67</v>
      </c>
      <c r="F287">
        <v>65</v>
      </c>
      <c r="G287" t="s">
        <v>0</v>
      </c>
      <c r="H287" s="2">
        <v>5</v>
      </c>
      <c r="I287" s="16">
        <v>0.34588473967990274</v>
      </c>
    </row>
    <row r="288" spans="1:9" x14ac:dyDescent="0.3">
      <c r="A288" t="s">
        <v>311</v>
      </c>
      <c r="B288" t="s">
        <v>52</v>
      </c>
      <c r="C288" s="1">
        <v>44735</v>
      </c>
      <c r="D288" t="s">
        <v>61</v>
      </c>
      <c r="E288" t="s">
        <v>66</v>
      </c>
      <c r="F288">
        <v>250</v>
      </c>
      <c r="G288" t="s">
        <v>1</v>
      </c>
      <c r="H288" s="2">
        <v>3</v>
      </c>
      <c r="I288" s="16">
        <v>0.44863071332488991</v>
      </c>
    </row>
    <row r="289" spans="1:9" x14ac:dyDescent="0.3">
      <c r="A289" t="s">
        <v>312</v>
      </c>
      <c r="B289" t="s">
        <v>53</v>
      </c>
      <c r="C289" s="1">
        <v>44737</v>
      </c>
      <c r="D289" t="s">
        <v>62</v>
      </c>
      <c r="E289" t="s">
        <v>67</v>
      </c>
      <c r="F289">
        <v>130</v>
      </c>
      <c r="G289" t="s">
        <v>2</v>
      </c>
      <c r="H289" s="2">
        <v>2</v>
      </c>
      <c r="I289" s="16">
        <v>0.41195662281860623</v>
      </c>
    </row>
    <row r="290" spans="1:9" x14ac:dyDescent="0.3">
      <c r="A290" t="s">
        <v>313</v>
      </c>
      <c r="B290" t="s">
        <v>54</v>
      </c>
      <c r="C290" s="1">
        <v>44749</v>
      </c>
      <c r="D290" t="s">
        <v>59</v>
      </c>
      <c r="E290" t="s">
        <v>66</v>
      </c>
      <c r="F290">
        <v>72</v>
      </c>
      <c r="G290" t="s">
        <v>0</v>
      </c>
      <c r="H290" s="2">
        <v>10</v>
      </c>
      <c r="I290" s="16">
        <v>0.78611978286567918</v>
      </c>
    </row>
    <row r="291" spans="1:9" x14ac:dyDescent="0.3">
      <c r="A291" t="s">
        <v>314</v>
      </c>
      <c r="B291" t="s">
        <v>51</v>
      </c>
      <c r="C291" s="1">
        <v>44729</v>
      </c>
      <c r="D291" t="s">
        <v>60</v>
      </c>
      <c r="E291" t="s">
        <v>67</v>
      </c>
      <c r="F291">
        <v>65</v>
      </c>
      <c r="G291" t="s">
        <v>1</v>
      </c>
      <c r="H291" s="2">
        <v>12</v>
      </c>
      <c r="I291" s="16">
        <v>0.82093526112515247</v>
      </c>
    </row>
    <row r="292" spans="1:9" x14ac:dyDescent="0.3">
      <c r="A292" t="s">
        <v>315</v>
      </c>
      <c r="B292" t="s">
        <v>52</v>
      </c>
      <c r="C292" s="1">
        <v>44738</v>
      </c>
      <c r="D292" t="s">
        <v>61</v>
      </c>
      <c r="E292" t="s">
        <v>66</v>
      </c>
      <c r="F292">
        <v>250</v>
      </c>
      <c r="G292" t="s">
        <v>2</v>
      </c>
      <c r="H292" s="2">
        <v>3</v>
      </c>
      <c r="I292" s="16">
        <v>0.5655055849614361</v>
      </c>
    </row>
    <row r="293" spans="1:9" x14ac:dyDescent="0.3">
      <c r="A293" t="s">
        <v>316</v>
      </c>
      <c r="B293" t="s">
        <v>53</v>
      </c>
      <c r="C293" s="1">
        <v>44740</v>
      </c>
      <c r="D293" t="s">
        <v>62</v>
      </c>
      <c r="E293" t="s">
        <v>67</v>
      </c>
      <c r="F293">
        <v>130</v>
      </c>
      <c r="G293" t="s">
        <v>0</v>
      </c>
      <c r="H293" s="2">
        <v>4</v>
      </c>
      <c r="I293" s="16">
        <v>0.48001599413027629</v>
      </c>
    </row>
    <row r="294" spans="1:9" x14ac:dyDescent="0.3">
      <c r="A294" t="s">
        <v>317</v>
      </c>
      <c r="B294" t="s">
        <v>54</v>
      </c>
      <c r="C294" s="1">
        <v>44755</v>
      </c>
      <c r="D294" t="s">
        <v>63</v>
      </c>
      <c r="E294" t="s">
        <v>66</v>
      </c>
      <c r="F294">
        <v>60</v>
      </c>
      <c r="G294" t="s">
        <v>1</v>
      </c>
      <c r="H294" s="2">
        <v>9</v>
      </c>
      <c r="I294" s="16">
        <v>0.80703544305681518</v>
      </c>
    </row>
    <row r="295" spans="1:9" x14ac:dyDescent="0.3">
      <c r="A295" t="s">
        <v>318</v>
      </c>
      <c r="B295" t="s">
        <v>55</v>
      </c>
      <c r="C295" s="1">
        <v>44755</v>
      </c>
      <c r="D295" t="s">
        <v>64</v>
      </c>
      <c r="E295" t="s">
        <v>67</v>
      </c>
      <c r="F295">
        <v>95</v>
      </c>
      <c r="G295" t="s">
        <v>2</v>
      </c>
      <c r="H295" s="2">
        <v>6</v>
      </c>
      <c r="I295" s="16">
        <v>0.13472953271650978</v>
      </c>
    </row>
    <row r="296" spans="1:9" x14ac:dyDescent="0.3">
      <c r="A296" t="s">
        <v>319</v>
      </c>
      <c r="B296" t="s">
        <v>56</v>
      </c>
      <c r="C296" s="1">
        <v>44764</v>
      </c>
      <c r="D296" t="s">
        <v>59</v>
      </c>
      <c r="E296" t="s">
        <v>66</v>
      </c>
      <c r="F296">
        <v>72</v>
      </c>
      <c r="G296" t="s">
        <v>0</v>
      </c>
      <c r="H296" s="2">
        <v>9</v>
      </c>
      <c r="I296" s="16">
        <v>0.53735244514022174</v>
      </c>
    </row>
    <row r="297" spans="1:9" x14ac:dyDescent="0.3">
      <c r="A297" t="s">
        <v>320</v>
      </c>
      <c r="B297" t="s">
        <v>51</v>
      </c>
      <c r="C297" s="1">
        <v>44735</v>
      </c>
      <c r="D297" t="s">
        <v>60</v>
      </c>
      <c r="E297" t="s">
        <v>67</v>
      </c>
      <c r="F297">
        <v>65</v>
      </c>
      <c r="G297" t="s">
        <v>1</v>
      </c>
      <c r="H297" s="2">
        <v>10</v>
      </c>
      <c r="I297" s="16">
        <v>0.86493253723020291</v>
      </c>
    </row>
    <row r="298" spans="1:9" x14ac:dyDescent="0.3">
      <c r="A298" t="s">
        <v>321</v>
      </c>
      <c r="B298" t="s">
        <v>52</v>
      </c>
      <c r="C298" s="1">
        <v>44734</v>
      </c>
      <c r="D298" t="s">
        <v>61</v>
      </c>
      <c r="E298" t="s">
        <v>66</v>
      </c>
      <c r="F298">
        <v>250</v>
      </c>
      <c r="G298" t="s">
        <v>2</v>
      </c>
      <c r="H298" s="2">
        <v>2</v>
      </c>
      <c r="I298" s="16">
        <v>0.14635193252367351</v>
      </c>
    </row>
    <row r="299" spans="1:9" x14ac:dyDescent="0.3">
      <c r="A299" t="s">
        <v>322</v>
      </c>
      <c r="B299" t="s">
        <v>53</v>
      </c>
      <c r="C299" s="1">
        <v>44728</v>
      </c>
      <c r="D299" t="s">
        <v>62</v>
      </c>
      <c r="E299" t="s">
        <v>67</v>
      </c>
      <c r="F299">
        <v>130</v>
      </c>
      <c r="G299" t="s">
        <v>0</v>
      </c>
      <c r="H299" s="2">
        <v>5</v>
      </c>
      <c r="I299" s="16">
        <v>0.49930216593502397</v>
      </c>
    </row>
    <row r="300" spans="1:9" x14ac:dyDescent="0.3">
      <c r="A300" t="s">
        <v>323</v>
      </c>
      <c r="B300" t="s">
        <v>54</v>
      </c>
      <c r="C300" s="1">
        <v>44739</v>
      </c>
      <c r="D300" t="s">
        <v>59</v>
      </c>
      <c r="E300" t="s">
        <v>66</v>
      </c>
      <c r="F300">
        <v>72</v>
      </c>
      <c r="G300" t="s">
        <v>1</v>
      </c>
      <c r="H300" s="2">
        <v>4</v>
      </c>
      <c r="I300" s="16">
        <v>0.16760369217058779</v>
      </c>
    </row>
    <row r="301" spans="1:9" x14ac:dyDescent="0.3">
      <c r="A301" t="s">
        <v>324</v>
      </c>
      <c r="B301" t="s">
        <v>51</v>
      </c>
      <c r="C301" s="1">
        <v>44765</v>
      </c>
      <c r="D301" t="s">
        <v>60</v>
      </c>
      <c r="E301" t="s">
        <v>67</v>
      </c>
      <c r="F301">
        <v>65</v>
      </c>
      <c r="G301" t="s">
        <v>2</v>
      </c>
      <c r="H301" s="2">
        <v>13</v>
      </c>
      <c r="I301" s="16">
        <v>0.57040391639924315</v>
      </c>
    </row>
    <row r="302" spans="1:9" x14ac:dyDescent="0.3">
      <c r="A302" t="s">
        <v>325</v>
      </c>
      <c r="B302" t="s">
        <v>52</v>
      </c>
      <c r="C302" s="1">
        <v>44740</v>
      </c>
      <c r="D302" t="s">
        <v>61</v>
      </c>
      <c r="E302" t="s">
        <v>67</v>
      </c>
      <c r="F302">
        <v>250</v>
      </c>
      <c r="G302" t="s">
        <v>0</v>
      </c>
      <c r="H302" s="2">
        <v>2</v>
      </c>
      <c r="I302" s="16">
        <v>0.35240472893682595</v>
      </c>
    </row>
    <row r="303" spans="1:9" x14ac:dyDescent="0.3">
      <c r="A303" t="s">
        <v>326</v>
      </c>
      <c r="B303" t="s">
        <v>53</v>
      </c>
      <c r="C303" s="1">
        <v>44734</v>
      </c>
      <c r="D303" t="s">
        <v>62</v>
      </c>
      <c r="E303" t="s">
        <v>67</v>
      </c>
      <c r="F303">
        <v>130</v>
      </c>
      <c r="G303" t="s">
        <v>1</v>
      </c>
      <c r="H303" s="2">
        <v>3</v>
      </c>
      <c r="I303" s="16">
        <v>0.11208092156242278</v>
      </c>
    </row>
    <row r="304" spans="1:9" x14ac:dyDescent="0.3">
      <c r="A304" t="s">
        <v>327</v>
      </c>
      <c r="B304" t="s">
        <v>54</v>
      </c>
      <c r="C304" s="1">
        <v>44727</v>
      </c>
      <c r="D304" t="s">
        <v>63</v>
      </c>
      <c r="E304" t="s">
        <v>67</v>
      </c>
      <c r="F304">
        <v>60</v>
      </c>
      <c r="G304" t="s">
        <v>2</v>
      </c>
      <c r="H304" s="2">
        <v>10</v>
      </c>
      <c r="I304" s="16">
        <v>0.57839134647100132</v>
      </c>
    </row>
    <row r="305" spans="1:9" x14ac:dyDescent="0.3">
      <c r="A305" t="s">
        <v>328</v>
      </c>
      <c r="B305" t="s">
        <v>55</v>
      </c>
      <c r="C305" s="1">
        <v>44737</v>
      </c>
      <c r="D305" t="s">
        <v>59</v>
      </c>
      <c r="E305" t="s">
        <v>67</v>
      </c>
      <c r="F305">
        <v>72</v>
      </c>
      <c r="G305" t="s">
        <v>0</v>
      </c>
      <c r="H305" s="2">
        <v>9</v>
      </c>
      <c r="I305" s="16">
        <v>0.18785567306752626</v>
      </c>
    </row>
    <row r="306" spans="1:9" x14ac:dyDescent="0.3">
      <c r="A306" t="s">
        <v>329</v>
      </c>
      <c r="B306" t="s">
        <v>51</v>
      </c>
      <c r="C306" s="1">
        <v>44747</v>
      </c>
      <c r="D306" t="s">
        <v>60</v>
      </c>
      <c r="E306" t="s">
        <v>66</v>
      </c>
      <c r="F306">
        <v>65</v>
      </c>
      <c r="G306" t="s">
        <v>1</v>
      </c>
      <c r="H306" s="2">
        <v>8</v>
      </c>
      <c r="I306" s="16">
        <v>0.69234786906479862</v>
      </c>
    </row>
    <row r="307" spans="1:9" x14ac:dyDescent="0.3">
      <c r="A307" t="s">
        <v>330</v>
      </c>
      <c r="B307" t="s">
        <v>52</v>
      </c>
      <c r="C307" s="1">
        <v>44754</v>
      </c>
      <c r="D307" t="s">
        <v>61</v>
      </c>
      <c r="E307" t="s">
        <v>67</v>
      </c>
      <c r="F307">
        <v>250</v>
      </c>
      <c r="G307" t="s">
        <v>2</v>
      </c>
      <c r="H307" s="2">
        <v>3</v>
      </c>
      <c r="I307" s="16">
        <v>0.7313105471637672</v>
      </c>
    </row>
    <row r="308" spans="1:9" x14ac:dyDescent="0.3">
      <c r="A308" t="s">
        <v>331</v>
      </c>
      <c r="B308" t="s">
        <v>53</v>
      </c>
      <c r="C308" s="1">
        <v>44760</v>
      </c>
      <c r="D308" t="s">
        <v>62</v>
      </c>
      <c r="E308" t="s">
        <v>66</v>
      </c>
      <c r="F308">
        <v>130</v>
      </c>
      <c r="G308" t="s">
        <v>0</v>
      </c>
      <c r="H308" s="2">
        <v>3</v>
      </c>
      <c r="I308" s="16">
        <v>0.39651294953245186</v>
      </c>
    </row>
    <row r="309" spans="1:9" x14ac:dyDescent="0.3">
      <c r="A309" t="s">
        <v>332</v>
      </c>
      <c r="B309" t="s">
        <v>54</v>
      </c>
      <c r="C309" s="1">
        <v>44759</v>
      </c>
      <c r="D309" t="s">
        <v>59</v>
      </c>
      <c r="E309" t="s">
        <v>67</v>
      </c>
      <c r="F309">
        <v>72</v>
      </c>
      <c r="G309" t="s">
        <v>1</v>
      </c>
      <c r="H309" s="2">
        <v>5</v>
      </c>
      <c r="I309" s="16">
        <v>0.47053293956185105</v>
      </c>
    </row>
    <row r="310" spans="1:9" x14ac:dyDescent="0.3">
      <c r="A310" t="s">
        <v>333</v>
      </c>
      <c r="B310" t="s">
        <v>51</v>
      </c>
      <c r="C310" s="1">
        <v>44735</v>
      </c>
      <c r="D310" t="s">
        <v>60</v>
      </c>
      <c r="E310" t="s">
        <v>66</v>
      </c>
      <c r="F310">
        <v>65</v>
      </c>
      <c r="G310" t="s">
        <v>2</v>
      </c>
      <c r="H310" s="2">
        <v>9</v>
      </c>
      <c r="I310" s="16">
        <v>0.9022424845836422</v>
      </c>
    </row>
    <row r="311" spans="1:9" x14ac:dyDescent="0.3">
      <c r="A311" t="s">
        <v>334</v>
      </c>
      <c r="B311" t="s">
        <v>52</v>
      </c>
      <c r="C311" s="1">
        <v>44734</v>
      </c>
      <c r="D311" t="s">
        <v>61</v>
      </c>
      <c r="E311" t="s">
        <v>67</v>
      </c>
      <c r="F311">
        <v>250</v>
      </c>
      <c r="G311" t="s">
        <v>0</v>
      </c>
      <c r="H311" s="2">
        <v>1</v>
      </c>
      <c r="I311" s="16">
        <v>0.25057968884738369</v>
      </c>
    </row>
    <row r="312" spans="1:9" x14ac:dyDescent="0.3">
      <c r="A312" t="s">
        <v>335</v>
      </c>
      <c r="B312" t="s">
        <v>53</v>
      </c>
      <c r="C312" s="1">
        <v>44753</v>
      </c>
      <c r="D312" t="s">
        <v>62</v>
      </c>
      <c r="E312" t="s">
        <v>66</v>
      </c>
      <c r="F312">
        <v>130</v>
      </c>
      <c r="G312" t="s">
        <v>1</v>
      </c>
      <c r="H312" s="2">
        <v>4</v>
      </c>
      <c r="I312" s="16">
        <v>0.56892266919679113</v>
      </c>
    </row>
    <row r="313" spans="1:9" x14ac:dyDescent="0.3">
      <c r="A313" t="s">
        <v>336</v>
      </c>
      <c r="B313" t="s">
        <v>54</v>
      </c>
      <c r="C313" s="1">
        <v>44739</v>
      </c>
      <c r="D313" t="s">
        <v>63</v>
      </c>
      <c r="E313" t="s">
        <v>67</v>
      </c>
      <c r="F313">
        <v>60</v>
      </c>
      <c r="G313" t="s">
        <v>2</v>
      </c>
      <c r="H313" s="2">
        <v>6</v>
      </c>
      <c r="I313" s="16">
        <v>3.357106137416721E-2</v>
      </c>
    </row>
    <row r="314" spans="1:9" x14ac:dyDescent="0.3">
      <c r="A314" t="s">
        <v>337</v>
      </c>
      <c r="B314" t="s">
        <v>55</v>
      </c>
      <c r="C314" s="1">
        <v>44740</v>
      </c>
      <c r="D314" t="s">
        <v>64</v>
      </c>
      <c r="E314" t="s">
        <v>66</v>
      </c>
      <c r="F314">
        <v>95</v>
      </c>
      <c r="G314" t="s">
        <v>0</v>
      </c>
      <c r="H314" s="2">
        <v>4</v>
      </c>
      <c r="I314" s="16">
        <v>0.11797039324964398</v>
      </c>
    </row>
    <row r="315" spans="1:9" x14ac:dyDescent="0.3">
      <c r="A315" t="s">
        <v>338</v>
      </c>
      <c r="B315" t="s">
        <v>56</v>
      </c>
      <c r="C315" s="1">
        <v>44748</v>
      </c>
      <c r="D315" t="s">
        <v>59</v>
      </c>
      <c r="E315" t="s">
        <v>67</v>
      </c>
      <c r="F315">
        <v>72</v>
      </c>
      <c r="G315" t="s">
        <v>1</v>
      </c>
      <c r="H315" s="2">
        <v>8</v>
      </c>
      <c r="I315" s="16">
        <v>2.8176385964748696E-2</v>
      </c>
    </row>
    <row r="316" spans="1:9" x14ac:dyDescent="0.3">
      <c r="A316" t="s">
        <v>339</v>
      </c>
      <c r="B316" t="s">
        <v>51</v>
      </c>
      <c r="C316" s="1">
        <v>44731</v>
      </c>
      <c r="D316" t="s">
        <v>60</v>
      </c>
      <c r="E316" t="s">
        <v>66</v>
      </c>
      <c r="F316">
        <v>65</v>
      </c>
      <c r="G316" t="s">
        <v>2</v>
      </c>
      <c r="H316" s="2">
        <v>8</v>
      </c>
      <c r="I316" s="16">
        <v>0.66941136725758887</v>
      </c>
    </row>
    <row r="317" spans="1:9" x14ac:dyDescent="0.3">
      <c r="A317" t="s">
        <v>340</v>
      </c>
      <c r="B317" t="s">
        <v>52</v>
      </c>
      <c r="C317" s="1">
        <v>44763</v>
      </c>
      <c r="D317" t="s">
        <v>61</v>
      </c>
      <c r="E317" t="s">
        <v>67</v>
      </c>
      <c r="F317">
        <v>250</v>
      </c>
      <c r="G317" t="s">
        <v>0</v>
      </c>
      <c r="H317" s="2">
        <v>2</v>
      </c>
      <c r="I317" s="16">
        <v>0.36448172495541775</v>
      </c>
    </row>
    <row r="318" spans="1:9" x14ac:dyDescent="0.3">
      <c r="A318" t="s">
        <v>341</v>
      </c>
      <c r="B318" t="s">
        <v>53</v>
      </c>
      <c r="C318" s="1">
        <v>44733</v>
      </c>
      <c r="D318" t="s">
        <v>62</v>
      </c>
      <c r="E318" t="s">
        <v>66</v>
      </c>
      <c r="F318">
        <v>130</v>
      </c>
      <c r="G318" t="s">
        <v>1</v>
      </c>
      <c r="H318" s="2">
        <v>7</v>
      </c>
      <c r="I318" s="16">
        <v>0.15416488306079768</v>
      </c>
    </row>
    <row r="319" spans="1:9" x14ac:dyDescent="0.3">
      <c r="A319" t="s">
        <v>342</v>
      </c>
      <c r="B319" t="s">
        <v>54</v>
      </c>
      <c r="C319" s="1">
        <v>44746</v>
      </c>
      <c r="D319" t="s">
        <v>59</v>
      </c>
      <c r="E319" t="s">
        <v>67</v>
      </c>
      <c r="F319">
        <v>72</v>
      </c>
      <c r="G319" t="s">
        <v>2</v>
      </c>
      <c r="H319" s="2">
        <v>7</v>
      </c>
      <c r="I319" s="16">
        <v>0.66646609625242947</v>
      </c>
    </row>
    <row r="320" spans="1:9" x14ac:dyDescent="0.3">
      <c r="A320" t="s">
        <v>343</v>
      </c>
      <c r="B320" t="s">
        <v>51</v>
      </c>
      <c r="C320" s="1">
        <v>44755</v>
      </c>
      <c r="D320" t="s">
        <v>60</v>
      </c>
      <c r="E320" t="s">
        <v>66</v>
      </c>
      <c r="F320">
        <v>65</v>
      </c>
      <c r="G320" t="s">
        <v>0</v>
      </c>
      <c r="H320" s="2">
        <v>4</v>
      </c>
      <c r="I320" s="16">
        <v>0.69183752034253276</v>
      </c>
    </row>
    <row r="321" spans="1:9" x14ac:dyDescent="0.3">
      <c r="A321" t="s">
        <v>344</v>
      </c>
      <c r="B321" t="s">
        <v>52</v>
      </c>
      <c r="C321" s="1">
        <v>44755</v>
      </c>
      <c r="D321" t="s">
        <v>61</v>
      </c>
      <c r="E321" t="s">
        <v>67</v>
      </c>
      <c r="F321">
        <v>250</v>
      </c>
      <c r="G321" t="s">
        <v>1</v>
      </c>
      <c r="H321" s="2">
        <v>2</v>
      </c>
      <c r="I321" s="16">
        <v>0.14649599591234685</v>
      </c>
    </row>
    <row r="322" spans="1:9" x14ac:dyDescent="0.3">
      <c r="A322" t="s">
        <v>345</v>
      </c>
      <c r="B322" t="s">
        <v>53</v>
      </c>
      <c r="C322" s="1">
        <v>44727</v>
      </c>
      <c r="D322" t="s">
        <v>62</v>
      </c>
      <c r="E322" t="s">
        <v>66</v>
      </c>
      <c r="F322">
        <v>130</v>
      </c>
      <c r="G322" t="s">
        <v>2</v>
      </c>
      <c r="H322" s="2">
        <v>2</v>
      </c>
      <c r="I322" s="16">
        <v>0.98540635482364014</v>
      </c>
    </row>
    <row r="323" spans="1:9" x14ac:dyDescent="0.3">
      <c r="A323" t="s">
        <v>346</v>
      </c>
      <c r="B323" t="s">
        <v>54</v>
      </c>
      <c r="C323" s="1">
        <v>44746</v>
      </c>
      <c r="D323" t="s">
        <v>59</v>
      </c>
      <c r="E323" t="s">
        <v>67</v>
      </c>
      <c r="F323">
        <v>72</v>
      </c>
      <c r="G323" t="s">
        <v>0</v>
      </c>
      <c r="H323" s="2">
        <v>9</v>
      </c>
      <c r="I323" s="16">
        <v>0.32091320735788698</v>
      </c>
    </row>
    <row r="324" spans="1:9" x14ac:dyDescent="0.3">
      <c r="A324" t="s">
        <v>347</v>
      </c>
      <c r="B324" t="s">
        <v>51</v>
      </c>
      <c r="C324" s="1">
        <v>44740</v>
      </c>
      <c r="D324" t="s">
        <v>60</v>
      </c>
      <c r="E324" t="s">
        <v>67</v>
      </c>
      <c r="F324">
        <v>65</v>
      </c>
      <c r="G324" t="s">
        <v>0</v>
      </c>
      <c r="H324" s="2">
        <v>9</v>
      </c>
      <c r="I324" s="16">
        <v>0.94495394109275654</v>
      </c>
    </row>
    <row r="325" spans="1:9" x14ac:dyDescent="0.3">
      <c r="A325" t="s">
        <v>348</v>
      </c>
      <c r="B325" t="s">
        <v>52</v>
      </c>
      <c r="C325" s="1">
        <v>44743</v>
      </c>
      <c r="D325" t="s">
        <v>61</v>
      </c>
      <c r="E325" t="s">
        <v>67</v>
      </c>
      <c r="F325">
        <v>250</v>
      </c>
      <c r="G325" t="s">
        <v>1</v>
      </c>
      <c r="H325" s="2">
        <v>2</v>
      </c>
      <c r="I325" s="16">
        <v>0.50906748027199666</v>
      </c>
    </row>
    <row r="326" spans="1:9" x14ac:dyDescent="0.3">
      <c r="A326" t="s">
        <v>349</v>
      </c>
      <c r="B326" t="s">
        <v>53</v>
      </c>
      <c r="C326" s="1">
        <v>44737</v>
      </c>
      <c r="D326" t="s">
        <v>62</v>
      </c>
      <c r="E326" t="s">
        <v>67</v>
      </c>
      <c r="F326">
        <v>130</v>
      </c>
      <c r="G326" t="s">
        <v>2</v>
      </c>
      <c r="H326" s="2">
        <v>4</v>
      </c>
      <c r="I326" s="16">
        <v>0.66059053266706258</v>
      </c>
    </row>
    <row r="327" spans="1:9" x14ac:dyDescent="0.3">
      <c r="A327" t="s">
        <v>350</v>
      </c>
      <c r="B327" t="s">
        <v>54</v>
      </c>
      <c r="C327" s="1">
        <v>44757</v>
      </c>
      <c r="D327" t="s">
        <v>59</v>
      </c>
      <c r="E327" t="s">
        <v>67</v>
      </c>
      <c r="F327">
        <v>72</v>
      </c>
      <c r="G327" t="s">
        <v>0</v>
      </c>
      <c r="H327" s="2">
        <v>8</v>
      </c>
      <c r="I327" s="16">
        <v>0.89615601403703116</v>
      </c>
    </row>
    <row r="328" spans="1:9" x14ac:dyDescent="0.3">
      <c r="A328" t="s">
        <v>351</v>
      </c>
      <c r="B328" t="s">
        <v>51</v>
      </c>
      <c r="C328" s="1">
        <v>44745</v>
      </c>
      <c r="D328" t="s">
        <v>60</v>
      </c>
      <c r="E328" t="s">
        <v>66</v>
      </c>
      <c r="F328">
        <v>65</v>
      </c>
      <c r="G328" t="s">
        <v>1</v>
      </c>
      <c r="H328" s="2">
        <v>8</v>
      </c>
      <c r="I328" s="16">
        <v>0.133950017527805</v>
      </c>
    </row>
    <row r="329" spans="1:9" x14ac:dyDescent="0.3">
      <c r="A329" t="s">
        <v>352</v>
      </c>
      <c r="B329" t="s">
        <v>52</v>
      </c>
      <c r="C329" s="1">
        <v>44760</v>
      </c>
      <c r="D329" t="s">
        <v>61</v>
      </c>
      <c r="E329" t="s">
        <v>67</v>
      </c>
      <c r="F329">
        <v>250</v>
      </c>
      <c r="G329" t="s">
        <v>2</v>
      </c>
      <c r="H329" s="2">
        <v>4</v>
      </c>
      <c r="I329" s="16">
        <v>0.3823797297998468</v>
      </c>
    </row>
    <row r="330" spans="1:9" x14ac:dyDescent="0.3">
      <c r="A330" t="s">
        <v>353</v>
      </c>
      <c r="B330" t="s">
        <v>53</v>
      </c>
      <c r="C330" s="1">
        <v>44750</v>
      </c>
      <c r="D330" t="s">
        <v>62</v>
      </c>
      <c r="E330" t="s">
        <v>66</v>
      </c>
      <c r="F330">
        <v>130</v>
      </c>
      <c r="G330" t="s">
        <v>0</v>
      </c>
      <c r="H330" s="2">
        <v>2</v>
      </c>
      <c r="I330" s="16">
        <v>0.15073825601342095</v>
      </c>
    </row>
    <row r="331" spans="1:9" x14ac:dyDescent="0.3">
      <c r="A331" t="s">
        <v>354</v>
      </c>
      <c r="B331" t="s">
        <v>54</v>
      </c>
      <c r="C331" s="1">
        <v>44742</v>
      </c>
      <c r="D331" t="s">
        <v>63</v>
      </c>
      <c r="E331" t="s">
        <v>67</v>
      </c>
      <c r="F331">
        <v>60</v>
      </c>
      <c r="G331" t="s">
        <v>1</v>
      </c>
      <c r="H331" s="2">
        <v>10</v>
      </c>
      <c r="I331" s="16">
        <v>0.96395128247903139</v>
      </c>
    </row>
    <row r="332" spans="1:9" x14ac:dyDescent="0.3">
      <c r="A332" t="s">
        <v>355</v>
      </c>
      <c r="B332" t="s">
        <v>55</v>
      </c>
      <c r="C332" s="1">
        <v>44754</v>
      </c>
      <c r="D332" t="s">
        <v>59</v>
      </c>
      <c r="E332" t="s">
        <v>66</v>
      </c>
      <c r="F332">
        <v>72</v>
      </c>
      <c r="G332" t="s">
        <v>2</v>
      </c>
      <c r="H332" s="2">
        <v>5</v>
      </c>
      <c r="I332" s="16">
        <v>0.93894083705684528</v>
      </c>
    </row>
    <row r="333" spans="1:9" x14ac:dyDescent="0.3">
      <c r="A333" t="s">
        <v>356</v>
      </c>
      <c r="B333" t="s">
        <v>51</v>
      </c>
      <c r="C333" s="1">
        <v>44746</v>
      </c>
      <c r="D333" t="s">
        <v>60</v>
      </c>
      <c r="E333" t="s">
        <v>67</v>
      </c>
      <c r="F333">
        <v>65</v>
      </c>
      <c r="G333" t="s">
        <v>0</v>
      </c>
      <c r="H333" s="2">
        <v>7</v>
      </c>
      <c r="I333" s="16">
        <v>0.90335270578489546</v>
      </c>
    </row>
    <row r="334" spans="1:9" x14ac:dyDescent="0.3">
      <c r="A334" t="s">
        <v>357</v>
      </c>
      <c r="B334" t="s">
        <v>52</v>
      </c>
      <c r="C334" s="1">
        <v>44752</v>
      </c>
      <c r="D334" t="s">
        <v>61</v>
      </c>
      <c r="E334" t="s">
        <v>66</v>
      </c>
      <c r="F334">
        <v>250</v>
      </c>
      <c r="G334" t="s">
        <v>1</v>
      </c>
      <c r="H334" s="2">
        <v>2</v>
      </c>
      <c r="I334" s="16">
        <v>0.62209777321995885</v>
      </c>
    </row>
    <row r="335" spans="1:9" x14ac:dyDescent="0.3">
      <c r="A335" t="s">
        <v>358</v>
      </c>
      <c r="B335" t="s">
        <v>53</v>
      </c>
      <c r="C335" s="1">
        <v>44725</v>
      </c>
      <c r="D335" t="s">
        <v>62</v>
      </c>
      <c r="E335" t="s">
        <v>67</v>
      </c>
      <c r="F335">
        <v>130</v>
      </c>
      <c r="G335" t="s">
        <v>2</v>
      </c>
      <c r="H335" s="2">
        <v>5</v>
      </c>
      <c r="I335" s="16">
        <v>6.1676790443396468E-2</v>
      </c>
    </row>
    <row r="336" spans="1:9" x14ac:dyDescent="0.3">
      <c r="A336" t="s">
        <v>359</v>
      </c>
      <c r="B336" t="s">
        <v>54</v>
      </c>
      <c r="C336" s="1">
        <v>44734</v>
      </c>
      <c r="D336" t="s">
        <v>59</v>
      </c>
      <c r="E336" t="s">
        <v>66</v>
      </c>
      <c r="F336">
        <v>72</v>
      </c>
      <c r="G336" t="s">
        <v>0</v>
      </c>
      <c r="H336" s="2">
        <v>12</v>
      </c>
      <c r="I336" s="16">
        <v>0.49213521317421138</v>
      </c>
    </row>
    <row r="337" spans="1:9" x14ac:dyDescent="0.3">
      <c r="A337" t="s">
        <v>360</v>
      </c>
      <c r="B337" t="s">
        <v>51</v>
      </c>
      <c r="C337" s="1">
        <v>44761</v>
      </c>
      <c r="D337" t="s">
        <v>60</v>
      </c>
      <c r="E337" t="s">
        <v>67</v>
      </c>
      <c r="F337">
        <v>65</v>
      </c>
      <c r="G337" t="s">
        <v>1</v>
      </c>
      <c r="H337" s="2">
        <v>9</v>
      </c>
      <c r="I337" s="16">
        <v>0.69552711985994919</v>
      </c>
    </row>
    <row r="338" spans="1:9" x14ac:dyDescent="0.3">
      <c r="A338" t="s">
        <v>361</v>
      </c>
      <c r="B338" t="s">
        <v>52</v>
      </c>
      <c r="C338" s="1">
        <v>44735</v>
      </c>
      <c r="D338" t="s">
        <v>61</v>
      </c>
      <c r="E338" t="s">
        <v>66</v>
      </c>
      <c r="F338">
        <v>250</v>
      </c>
      <c r="G338" t="s">
        <v>2</v>
      </c>
      <c r="H338" s="2">
        <v>4</v>
      </c>
      <c r="I338" s="16">
        <v>0.54528907278354111</v>
      </c>
    </row>
    <row r="339" spans="1:9" x14ac:dyDescent="0.3">
      <c r="A339" t="s">
        <v>362</v>
      </c>
      <c r="B339" t="s">
        <v>53</v>
      </c>
      <c r="C339" s="1">
        <v>44753</v>
      </c>
      <c r="D339" t="s">
        <v>62</v>
      </c>
      <c r="E339" t="s">
        <v>67</v>
      </c>
      <c r="F339">
        <v>130</v>
      </c>
      <c r="G339" t="s">
        <v>0</v>
      </c>
      <c r="H339" s="2">
        <v>4</v>
      </c>
      <c r="I339" s="16">
        <v>0.35199536538224718</v>
      </c>
    </row>
    <row r="340" spans="1:9" x14ac:dyDescent="0.3">
      <c r="A340" t="s">
        <v>363</v>
      </c>
      <c r="B340" t="s">
        <v>54</v>
      </c>
      <c r="C340" s="1">
        <v>44732</v>
      </c>
      <c r="D340" t="s">
        <v>63</v>
      </c>
      <c r="E340" t="s">
        <v>66</v>
      </c>
      <c r="F340">
        <v>60</v>
      </c>
      <c r="G340" t="s">
        <v>1</v>
      </c>
      <c r="H340" s="2">
        <v>6</v>
      </c>
      <c r="I340" s="16">
        <v>6.0292533629099143E-2</v>
      </c>
    </row>
    <row r="341" spans="1:9" x14ac:dyDescent="0.3">
      <c r="A341" t="s">
        <v>364</v>
      </c>
      <c r="B341" t="s">
        <v>55</v>
      </c>
      <c r="C341" s="1">
        <v>44748</v>
      </c>
      <c r="D341" t="s">
        <v>64</v>
      </c>
      <c r="E341" t="s">
        <v>67</v>
      </c>
      <c r="F341">
        <v>95</v>
      </c>
      <c r="G341" t="s">
        <v>2</v>
      </c>
      <c r="H341" s="2">
        <v>7</v>
      </c>
      <c r="I341" s="16">
        <v>4.1434457281700587E-2</v>
      </c>
    </row>
    <row r="342" spans="1:9" x14ac:dyDescent="0.3">
      <c r="A342" t="s">
        <v>365</v>
      </c>
      <c r="B342" t="s">
        <v>56</v>
      </c>
      <c r="C342" s="1">
        <v>44731</v>
      </c>
      <c r="D342" t="s">
        <v>59</v>
      </c>
      <c r="E342" t="s">
        <v>66</v>
      </c>
      <c r="F342">
        <v>72</v>
      </c>
      <c r="G342" t="s">
        <v>0</v>
      </c>
      <c r="H342" s="2">
        <v>3</v>
      </c>
      <c r="I342" s="16">
        <v>0.29516274884520199</v>
      </c>
    </row>
    <row r="343" spans="1:9" x14ac:dyDescent="0.3">
      <c r="A343" t="s">
        <v>366</v>
      </c>
      <c r="B343" t="s">
        <v>51</v>
      </c>
      <c r="C343" s="1">
        <v>44725</v>
      </c>
      <c r="D343" t="s">
        <v>60</v>
      </c>
      <c r="E343" t="s">
        <v>67</v>
      </c>
      <c r="F343">
        <v>65</v>
      </c>
      <c r="G343" t="s">
        <v>1</v>
      </c>
      <c r="H343" s="2">
        <v>4</v>
      </c>
      <c r="I343" s="16">
        <v>0.68154294540119276</v>
      </c>
    </row>
    <row r="344" spans="1:9" x14ac:dyDescent="0.3">
      <c r="A344" t="s">
        <v>367</v>
      </c>
      <c r="B344" t="s">
        <v>52</v>
      </c>
      <c r="C344" s="1">
        <v>44753</v>
      </c>
      <c r="D344" t="s">
        <v>61</v>
      </c>
      <c r="E344" t="s">
        <v>66</v>
      </c>
      <c r="F344">
        <v>250</v>
      </c>
      <c r="G344" t="s">
        <v>2</v>
      </c>
      <c r="H344" s="2">
        <v>1</v>
      </c>
      <c r="I344" s="16">
        <v>0.52632346520297391</v>
      </c>
    </row>
    <row r="345" spans="1:9" x14ac:dyDescent="0.3">
      <c r="A345" t="s">
        <v>368</v>
      </c>
      <c r="B345" t="s">
        <v>53</v>
      </c>
      <c r="C345" s="1">
        <v>44738</v>
      </c>
      <c r="D345" t="s">
        <v>62</v>
      </c>
      <c r="E345" t="s">
        <v>67</v>
      </c>
      <c r="F345">
        <v>130</v>
      </c>
      <c r="G345" t="s">
        <v>0</v>
      </c>
      <c r="H345" s="2">
        <v>6</v>
      </c>
      <c r="I345" s="16">
        <v>5.4437687903536869E-2</v>
      </c>
    </row>
    <row r="346" spans="1:9" x14ac:dyDescent="0.3">
      <c r="A346" t="s">
        <v>369</v>
      </c>
      <c r="B346" t="s">
        <v>54</v>
      </c>
      <c r="C346" s="1">
        <v>44762</v>
      </c>
      <c r="D346" t="s">
        <v>59</v>
      </c>
      <c r="E346" t="s">
        <v>67</v>
      </c>
      <c r="F346">
        <v>72</v>
      </c>
      <c r="G346" t="s">
        <v>1</v>
      </c>
      <c r="H346" s="2">
        <v>10</v>
      </c>
      <c r="I346" s="16">
        <v>0.95350738842174898</v>
      </c>
    </row>
    <row r="347" spans="1:9" x14ac:dyDescent="0.3">
      <c r="A347" t="s">
        <v>370</v>
      </c>
      <c r="B347" t="s">
        <v>51</v>
      </c>
      <c r="C347" s="1">
        <v>44756</v>
      </c>
      <c r="D347" t="s">
        <v>60</v>
      </c>
      <c r="E347" t="s">
        <v>67</v>
      </c>
      <c r="F347">
        <v>65</v>
      </c>
      <c r="G347" t="s">
        <v>2</v>
      </c>
      <c r="H347" s="2">
        <v>4</v>
      </c>
      <c r="I347" s="16">
        <v>0.46726651348176196</v>
      </c>
    </row>
    <row r="348" spans="1:9" x14ac:dyDescent="0.3">
      <c r="A348" t="s">
        <v>371</v>
      </c>
      <c r="B348" t="s">
        <v>52</v>
      </c>
      <c r="C348" s="1">
        <v>44744</v>
      </c>
      <c r="D348" t="s">
        <v>61</v>
      </c>
      <c r="E348" t="s">
        <v>67</v>
      </c>
      <c r="F348">
        <v>250</v>
      </c>
      <c r="G348" t="s">
        <v>0</v>
      </c>
      <c r="H348" s="2">
        <v>2</v>
      </c>
      <c r="I348" s="16">
        <v>0.6015089815611987</v>
      </c>
    </row>
    <row r="349" spans="1:9" x14ac:dyDescent="0.3">
      <c r="A349" t="s">
        <v>372</v>
      </c>
      <c r="B349" t="s">
        <v>53</v>
      </c>
      <c r="C349" s="1">
        <v>44753</v>
      </c>
      <c r="D349" t="s">
        <v>62</v>
      </c>
      <c r="E349" t="s">
        <v>67</v>
      </c>
      <c r="F349">
        <v>130</v>
      </c>
      <c r="G349" t="s">
        <v>1</v>
      </c>
      <c r="H349" s="2">
        <v>7</v>
      </c>
      <c r="I349" s="16">
        <v>0.17158764742187849</v>
      </c>
    </row>
    <row r="350" spans="1:9" x14ac:dyDescent="0.3">
      <c r="A350" t="s">
        <v>373</v>
      </c>
      <c r="B350" t="s">
        <v>54</v>
      </c>
      <c r="C350" s="1">
        <v>44762</v>
      </c>
      <c r="D350" t="s">
        <v>63</v>
      </c>
      <c r="E350" t="s">
        <v>66</v>
      </c>
      <c r="F350">
        <v>60</v>
      </c>
      <c r="G350" t="s">
        <v>2</v>
      </c>
      <c r="H350" s="2">
        <v>11</v>
      </c>
      <c r="I350" s="16">
        <v>0.44731050880102885</v>
      </c>
    </row>
    <row r="351" spans="1:9" x14ac:dyDescent="0.3">
      <c r="A351" t="s">
        <v>374</v>
      </c>
      <c r="B351" t="s">
        <v>55</v>
      </c>
      <c r="C351" s="1">
        <v>44740</v>
      </c>
      <c r="D351" t="s">
        <v>59</v>
      </c>
      <c r="E351" t="s">
        <v>67</v>
      </c>
      <c r="F351">
        <v>72</v>
      </c>
      <c r="G351" t="s">
        <v>0</v>
      </c>
      <c r="H351" s="2">
        <v>8</v>
      </c>
      <c r="I351" s="16">
        <v>0.54246953050958213</v>
      </c>
    </row>
    <row r="352" spans="1:9" x14ac:dyDescent="0.3">
      <c r="A352" t="s">
        <v>375</v>
      </c>
      <c r="B352" t="s">
        <v>51</v>
      </c>
      <c r="C352" s="1">
        <v>44729</v>
      </c>
      <c r="D352" t="s">
        <v>60</v>
      </c>
      <c r="E352" t="s">
        <v>66</v>
      </c>
      <c r="F352">
        <v>65</v>
      </c>
      <c r="G352" t="s">
        <v>1</v>
      </c>
      <c r="H352" s="2">
        <v>11</v>
      </c>
      <c r="I352" s="16">
        <v>0.50484804947298401</v>
      </c>
    </row>
    <row r="353" spans="1:9" x14ac:dyDescent="0.3">
      <c r="A353" t="s">
        <v>376</v>
      </c>
      <c r="B353" t="s">
        <v>52</v>
      </c>
      <c r="C353" s="1">
        <v>44727</v>
      </c>
      <c r="D353" t="s">
        <v>61</v>
      </c>
      <c r="E353" t="s">
        <v>67</v>
      </c>
      <c r="F353">
        <v>250</v>
      </c>
      <c r="G353" t="s">
        <v>2</v>
      </c>
      <c r="H353" s="2">
        <v>4</v>
      </c>
      <c r="I353" s="16">
        <v>9.2316747421295475E-2</v>
      </c>
    </row>
    <row r="354" spans="1:9" x14ac:dyDescent="0.3">
      <c r="A354" t="s">
        <v>377</v>
      </c>
      <c r="B354" t="s">
        <v>53</v>
      </c>
      <c r="C354" s="1">
        <v>44734</v>
      </c>
      <c r="D354" t="s">
        <v>62</v>
      </c>
      <c r="E354" t="s">
        <v>66</v>
      </c>
      <c r="F354">
        <v>130</v>
      </c>
      <c r="G354" t="s">
        <v>0</v>
      </c>
      <c r="H354" s="2">
        <v>7</v>
      </c>
      <c r="I354" s="16">
        <v>0.34907542272706216</v>
      </c>
    </row>
    <row r="355" spans="1:9" x14ac:dyDescent="0.3">
      <c r="A355" t="s">
        <v>378</v>
      </c>
      <c r="B355" t="s">
        <v>54</v>
      </c>
      <c r="C355" s="1">
        <v>44744</v>
      </c>
      <c r="D355" t="s">
        <v>59</v>
      </c>
      <c r="E355" t="s">
        <v>67</v>
      </c>
      <c r="F355">
        <v>72</v>
      </c>
      <c r="G355" t="s">
        <v>1</v>
      </c>
      <c r="H355" s="2">
        <v>4</v>
      </c>
      <c r="I355" s="16">
        <v>0.90031823580716619</v>
      </c>
    </row>
    <row r="356" spans="1:9" x14ac:dyDescent="0.3">
      <c r="A356" t="s">
        <v>379</v>
      </c>
      <c r="B356" t="s">
        <v>51</v>
      </c>
      <c r="C356" s="1">
        <v>44737</v>
      </c>
      <c r="D356" t="s">
        <v>60</v>
      </c>
      <c r="E356" t="s">
        <v>66</v>
      </c>
      <c r="F356">
        <v>65</v>
      </c>
      <c r="G356" t="s">
        <v>2</v>
      </c>
      <c r="H356" s="2">
        <v>5</v>
      </c>
      <c r="I356" s="16">
        <v>0.18050692795462731</v>
      </c>
    </row>
    <row r="357" spans="1:9" x14ac:dyDescent="0.3">
      <c r="A357" t="s">
        <v>380</v>
      </c>
      <c r="B357" t="s">
        <v>52</v>
      </c>
      <c r="C357" s="1">
        <v>44752</v>
      </c>
      <c r="D357" t="s">
        <v>61</v>
      </c>
      <c r="E357" t="s">
        <v>67</v>
      </c>
      <c r="F357">
        <v>250</v>
      </c>
      <c r="G357" t="s">
        <v>0</v>
      </c>
      <c r="H357" s="2">
        <v>1</v>
      </c>
      <c r="I357" s="16">
        <v>2.5445092820001292E-2</v>
      </c>
    </row>
    <row r="358" spans="1:9" x14ac:dyDescent="0.3">
      <c r="A358" t="s">
        <v>381</v>
      </c>
      <c r="B358" t="s">
        <v>53</v>
      </c>
      <c r="C358" s="1">
        <v>44736</v>
      </c>
      <c r="D358" t="s">
        <v>62</v>
      </c>
      <c r="E358" t="s">
        <v>66</v>
      </c>
      <c r="F358">
        <v>130</v>
      </c>
      <c r="G358" t="s">
        <v>1</v>
      </c>
      <c r="H358" s="2">
        <v>2</v>
      </c>
      <c r="I358" s="16">
        <v>0.79643741142705549</v>
      </c>
    </row>
    <row r="359" spans="1:9" x14ac:dyDescent="0.3">
      <c r="A359" t="s">
        <v>382</v>
      </c>
      <c r="B359" t="s">
        <v>54</v>
      </c>
      <c r="C359" s="1">
        <v>44752</v>
      </c>
      <c r="D359" t="s">
        <v>63</v>
      </c>
      <c r="E359" t="s">
        <v>67</v>
      </c>
      <c r="F359">
        <v>60</v>
      </c>
      <c r="G359" t="s">
        <v>2</v>
      </c>
      <c r="H359" s="2">
        <v>14</v>
      </c>
      <c r="I359" s="16">
        <v>0.16077213359827813</v>
      </c>
    </row>
    <row r="360" spans="1:9" x14ac:dyDescent="0.3">
      <c r="A360" t="s">
        <v>383</v>
      </c>
      <c r="B360" t="s">
        <v>55</v>
      </c>
      <c r="C360" s="1">
        <v>44759</v>
      </c>
      <c r="D360" t="s">
        <v>64</v>
      </c>
      <c r="E360" t="s">
        <v>66</v>
      </c>
      <c r="F360">
        <v>95</v>
      </c>
      <c r="G360" t="s">
        <v>0</v>
      </c>
      <c r="H360" s="2">
        <v>9</v>
      </c>
      <c r="I360" s="16">
        <v>0.24693836978869843</v>
      </c>
    </row>
    <row r="361" spans="1:9" x14ac:dyDescent="0.3">
      <c r="A361" t="s">
        <v>384</v>
      </c>
      <c r="B361" t="s">
        <v>56</v>
      </c>
      <c r="C361" s="1">
        <v>44763</v>
      </c>
      <c r="D361" t="s">
        <v>59</v>
      </c>
      <c r="E361" t="s">
        <v>67</v>
      </c>
      <c r="F361">
        <v>72</v>
      </c>
      <c r="G361" t="s">
        <v>1</v>
      </c>
      <c r="H361" s="2">
        <v>8</v>
      </c>
      <c r="I361" s="16">
        <v>0.22148207946738752</v>
      </c>
    </row>
    <row r="362" spans="1:9" x14ac:dyDescent="0.3">
      <c r="A362" t="s">
        <v>385</v>
      </c>
      <c r="B362" t="s">
        <v>51</v>
      </c>
      <c r="C362" s="1">
        <v>44763</v>
      </c>
      <c r="D362" t="s">
        <v>60</v>
      </c>
      <c r="E362" t="s">
        <v>66</v>
      </c>
      <c r="F362">
        <v>65</v>
      </c>
      <c r="G362" t="s">
        <v>2</v>
      </c>
      <c r="H362" s="2">
        <v>11</v>
      </c>
      <c r="I362" s="16">
        <v>0.71458846230959472</v>
      </c>
    </row>
    <row r="363" spans="1:9" x14ac:dyDescent="0.3">
      <c r="A363" t="s">
        <v>386</v>
      </c>
      <c r="B363" t="s">
        <v>52</v>
      </c>
      <c r="C363" s="1">
        <v>44750</v>
      </c>
      <c r="D363" t="s">
        <v>61</v>
      </c>
      <c r="E363" t="s">
        <v>67</v>
      </c>
      <c r="F363">
        <v>250</v>
      </c>
      <c r="G363" t="s">
        <v>0</v>
      </c>
      <c r="H363" s="2">
        <v>4</v>
      </c>
      <c r="I363" s="16">
        <v>0.11286694488931481</v>
      </c>
    </row>
    <row r="364" spans="1:9" x14ac:dyDescent="0.3">
      <c r="A364" t="s">
        <v>387</v>
      </c>
      <c r="B364" t="s">
        <v>53</v>
      </c>
      <c r="C364" s="1">
        <v>44751</v>
      </c>
      <c r="D364" t="s">
        <v>62</v>
      </c>
      <c r="E364" t="s">
        <v>66</v>
      </c>
      <c r="F364">
        <v>130</v>
      </c>
      <c r="G364" t="s">
        <v>1</v>
      </c>
      <c r="H364" s="2">
        <v>6</v>
      </c>
      <c r="I364" s="16">
        <v>6.5283590828819849E-2</v>
      </c>
    </row>
    <row r="365" spans="1:9" x14ac:dyDescent="0.3">
      <c r="A365" t="s">
        <v>388</v>
      </c>
      <c r="B365" t="s">
        <v>54</v>
      </c>
      <c r="C365" s="1">
        <v>44736</v>
      </c>
      <c r="D365" t="s">
        <v>59</v>
      </c>
      <c r="E365" t="s">
        <v>67</v>
      </c>
      <c r="F365">
        <v>72</v>
      </c>
      <c r="G365" t="s">
        <v>2</v>
      </c>
      <c r="H365" s="2">
        <v>11</v>
      </c>
      <c r="I365" s="16">
        <v>0.46681751998353072</v>
      </c>
    </row>
    <row r="366" spans="1:9" x14ac:dyDescent="0.3">
      <c r="A366" t="s">
        <v>389</v>
      </c>
      <c r="B366" t="s">
        <v>51</v>
      </c>
      <c r="C366" s="1">
        <v>44737</v>
      </c>
      <c r="D366" t="s">
        <v>60</v>
      </c>
      <c r="E366" t="s">
        <v>66</v>
      </c>
      <c r="F366">
        <v>65</v>
      </c>
      <c r="G366" t="s">
        <v>0</v>
      </c>
      <c r="H366" s="2">
        <v>9</v>
      </c>
      <c r="I366" s="16">
        <v>0.92202770154223668</v>
      </c>
    </row>
    <row r="367" spans="1:9" x14ac:dyDescent="0.3">
      <c r="A367" t="s">
        <v>390</v>
      </c>
      <c r="B367" t="s">
        <v>52</v>
      </c>
      <c r="C367" s="1">
        <v>44744</v>
      </c>
      <c r="D367" t="s">
        <v>61</v>
      </c>
      <c r="E367" t="s">
        <v>67</v>
      </c>
      <c r="F367">
        <v>250</v>
      </c>
      <c r="G367" t="s">
        <v>1</v>
      </c>
      <c r="H367" s="2">
        <v>2</v>
      </c>
      <c r="I367" s="16">
        <v>0.18840485753727232</v>
      </c>
    </row>
    <row r="368" spans="1:9" x14ac:dyDescent="0.3">
      <c r="A368" t="s">
        <v>391</v>
      </c>
      <c r="B368" t="s">
        <v>53</v>
      </c>
      <c r="C368" s="1">
        <v>44735</v>
      </c>
      <c r="D368" t="s">
        <v>62</v>
      </c>
      <c r="E368" t="s">
        <v>67</v>
      </c>
      <c r="F368">
        <v>130</v>
      </c>
      <c r="G368" t="s">
        <v>2</v>
      </c>
      <c r="H368" s="2">
        <v>2</v>
      </c>
      <c r="I368" s="16">
        <v>0.27847072137209206</v>
      </c>
    </row>
    <row r="369" spans="1:9" x14ac:dyDescent="0.3">
      <c r="A369" t="s">
        <v>392</v>
      </c>
      <c r="B369" t="s">
        <v>51</v>
      </c>
      <c r="C369" s="1">
        <v>44751</v>
      </c>
      <c r="D369" t="s">
        <v>59</v>
      </c>
      <c r="E369" t="s">
        <v>67</v>
      </c>
      <c r="F369">
        <v>72</v>
      </c>
      <c r="G369" t="s">
        <v>0</v>
      </c>
      <c r="H369" s="2">
        <v>10</v>
      </c>
      <c r="I369" s="16">
        <v>0.78884251376405168</v>
      </c>
    </row>
    <row r="370" spans="1:9" x14ac:dyDescent="0.3">
      <c r="A370" t="s">
        <v>393</v>
      </c>
      <c r="B370" t="s">
        <v>52</v>
      </c>
      <c r="C370" s="1">
        <v>44726</v>
      </c>
      <c r="D370" t="s">
        <v>60</v>
      </c>
      <c r="E370" t="s">
        <v>67</v>
      </c>
      <c r="F370">
        <v>65</v>
      </c>
      <c r="G370" t="s">
        <v>0</v>
      </c>
      <c r="H370" s="2">
        <v>5</v>
      </c>
      <c r="I370" s="16">
        <v>0.18299168548896383</v>
      </c>
    </row>
    <row r="371" spans="1:9" x14ac:dyDescent="0.3">
      <c r="A371" t="s">
        <v>394</v>
      </c>
      <c r="B371" t="s">
        <v>53</v>
      </c>
      <c r="C371" s="1">
        <v>44749</v>
      </c>
      <c r="D371" t="s">
        <v>61</v>
      </c>
      <c r="E371" t="s">
        <v>67</v>
      </c>
      <c r="F371">
        <v>250</v>
      </c>
      <c r="G371" t="s">
        <v>1</v>
      </c>
      <c r="H371" s="2">
        <v>3</v>
      </c>
      <c r="I371" s="16">
        <v>0.20591715888096995</v>
      </c>
    </row>
    <row r="372" spans="1:9" x14ac:dyDescent="0.3">
      <c r="A372" t="s">
        <v>395</v>
      </c>
      <c r="B372" t="s">
        <v>54</v>
      </c>
      <c r="C372" s="1">
        <v>44734</v>
      </c>
      <c r="D372" t="s">
        <v>62</v>
      </c>
      <c r="E372" t="s">
        <v>66</v>
      </c>
      <c r="F372">
        <v>130</v>
      </c>
      <c r="G372" t="s">
        <v>2</v>
      </c>
      <c r="H372" s="2">
        <v>2</v>
      </c>
      <c r="I372" s="16">
        <v>2.128339836887938E-2</v>
      </c>
    </row>
    <row r="373" spans="1:9" x14ac:dyDescent="0.3">
      <c r="A373" t="s">
        <v>396</v>
      </c>
      <c r="B373" t="s">
        <v>51</v>
      </c>
      <c r="C373" s="1">
        <v>44726</v>
      </c>
      <c r="D373" t="s">
        <v>59</v>
      </c>
      <c r="E373" t="s">
        <v>67</v>
      </c>
      <c r="F373">
        <v>72</v>
      </c>
      <c r="G373" t="s">
        <v>0</v>
      </c>
      <c r="H373" s="2">
        <v>4</v>
      </c>
      <c r="I373" s="16">
        <v>2.2806889019524657E-2</v>
      </c>
    </row>
    <row r="374" spans="1:9" x14ac:dyDescent="0.3">
      <c r="A374" t="s">
        <v>397</v>
      </c>
      <c r="B374" t="s">
        <v>52</v>
      </c>
      <c r="C374" s="1">
        <v>44743</v>
      </c>
      <c r="D374" t="s">
        <v>60</v>
      </c>
      <c r="E374" t="s">
        <v>66</v>
      </c>
      <c r="F374">
        <v>65</v>
      </c>
      <c r="G374" t="s">
        <v>1</v>
      </c>
      <c r="H374" s="2">
        <v>6</v>
      </c>
      <c r="I374" s="16">
        <v>0.66448214030499053</v>
      </c>
    </row>
    <row r="375" spans="1:9" x14ac:dyDescent="0.3">
      <c r="A375" t="s">
        <v>398</v>
      </c>
      <c r="B375" t="s">
        <v>53</v>
      </c>
      <c r="C375" s="1">
        <v>44742</v>
      </c>
      <c r="D375" t="s">
        <v>61</v>
      </c>
      <c r="E375" t="s">
        <v>67</v>
      </c>
      <c r="F375">
        <v>250</v>
      </c>
      <c r="G375" t="s">
        <v>2</v>
      </c>
      <c r="H375" s="2">
        <v>3</v>
      </c>
      <c r="I375" s="16">
        <v>0.29151955249280481</v>
      </c>
    </row>
    <row r="376" spans="1:9" x14ac:dyDescent="0.3">
      <c r="A376" t="s">
        <v>399</v>
      </c>
      <c r="B376" t="s">
        <v>54</v>
      </c>
      <c r="C376" s="1">
        <v>44747</v>
      </c>
      <c r="D376" t="s">
        <v>62</v>
      </c>
      <c r="E376" t="s">
        <v>66</v>
      </c>
      <c r="F376">
        <v>130</v>
      </c>
      <c r="G376" t="s">
        <v>0</v>
      </c>
      <c r="H376" s="2">
        <v>5</v>
      </c>
      <c r="I376" s="16">
        <v>0.55684098110336311</v>
      </c>
    </row>
    <row r="377" spans="1:9" x14ac:dyDescent="0.3">
      <c r="A377" t="s">
        <v>400</v>
      </c>
      <c r="B377" t="s">
        <v>55</v>
      </c>
      <c r="C377" s="1">
        <v>44764</v>
      </c>
      <c r="D377" t="s">
        <v>63</v>
      </c>
      <c r="E377" t="s">
        <v>67</v>
      </c>
      <c r="F377">
        <v>60</v>
      </c>
      <c r="G377" t="s">
        <v>1</v>
      </c>
      <c r="H377" s="2">
        <v>14</v>
      </c>
      <c r="I377" s="16">
        <v>0.57240542144015649</v>
      </c>
    </row>
    <row r="378" spans="1:9" x14ac:dyDescent="0.3">
      <c r="A378" t="s">
        <v>401</v>
      </c>
      <c r="B378" t="s">
        <v>51</v>
      </c>
      <c r="C378" s="1">
        <v>44735</v>
      </c>
      <c r="D378" t="s">
        <v>59</v>
      </c>
      <c r="E378" t="s">
        <v>66</v>
      </c>
      <c r="F378">
        <v>72</v>
      </c>
      <c r="G378" t="s">
        <v>2</v>
      </c>
      <c r="H378" s="2">
        <v>3</v>
      </c>
      <c r="I378" s="16">
        <v>8.6221643115211744E-2</v>
      </c>
    </row>
    <row r="379" spans="1:9" x14ac:dyDescent="0.3">
      <c r="A379" t="s">
        <v>402</v>
      </c>
      <c r="B379" t="s">
        <v>52</v>
      </c>
      <c r="C379" s="1">
        <v>44737</v>
      </c>
      <c r="D379" t="s">
        <v>60</v>
      </c>
      <c r="E379" t="s">
        <v>67</v>
      </c>
      <c r="F379">
        <v>65</v>
      </c>
      <c r="G379" t="s">
        <v>0</v>
      </c>
      <c r="H379" s="2">
        <v>10</v>
      </c>
      <c r="I379" s="16">
        <v>0.95609718609661631</v>
      </c>
    </row>
    <row r="380" spans="1:9" x14ac:dyDescent="0.3">
      <c r="A380" t="s">
        <v>403</v>
      </c>
      <c r="B380" t="s">
        <v>53</v>
      </c>
      <c r="C380" s="1">
        <v>44749</v>
      </c>
      <c r="D380" t="s">
        <v>61</v>
      </c>
      <c r="E380" t="s">
        <v>66</v>
      </c>
      <c r="F380">
        <v>250</v>
      </c>
      <c r="G380" t="s">
        <v>1</v>
      </c>
      <c r="H380" s="2">
        <v>2</v>
      </c>
      <c r="I380" s="16">
        <v>0.2455223768222089</v>
      </c>
    </row>
    <row r="381" spans="1:9" x14ac:dyDescent="0.3">
      <c r="A381" t="s">
        <v>404</v>
      </c>
      <c r="B381" t="s">
        <v>54</v>
      </c>
      <c r="C381" s="1">
        <v>44729</v>
      </c>
      <c r="D381" t="s">
        <v>62</v>
      </c>
      <c r="E381" t="s">
        <v>67</v>
      </c>
      <c r="F381">
        <v>130</v>
      </c>
      <c r="G381" t="s">
        <v>2</v>
      </c>
      <c r="H381" s="2">
        <v>7</v>
      </c>
      <c r="I381" s="16">
        <v>0.56637632681080741</v>
      </c>
    </row>
    <row r="382" spans="1:9" x14ac:dyDescent="0.3">
      <c r="A382" t="s">
        <v>405</v>
      </c>
      <c r="B382" t="s">
        <v>51</v>
      </c>
      <c r="C382" s="1">
        <v>44738</v>
      </c>
      <c r="D382" t="s">
        <v>59</v>
      </c>
      <c r="E382" t="s">
        <v>66</v>
      </c>
      <c r="F382">
        <v>72</v>
      </c>
      <c r="G382" t="s">
        <v>0</v>
      </c>
      <c r="H382" s="2">
        <v>11</v>
      </c>
      <c r="I382" s="16">
        <v>4.5179835219914199E-2</v>
      </c>
    </row>
    <row r="383" spans="1:9" x14ac:dyDescent="0.3">
      <c r="A383" t="s">
        <v>406</v>
      </c>
      <c r="B383" t="s">
        <v>52</v>
      </c>
      <c r="C383" s="1">
        <v>44740</v>
      </c>
      <c r="D383" t="s">
        <v>60</v>
      </c>
      <c r="E383" t="s">
        <v>67</v>
      </c>
      <c r="F383">
        <v>65</v>
      </c>
      <c r="G383" t="s">
        <v>1</v>
      </c>
      <c r="H383" s="2">
        <v>13</v>
      </c>
      <c r="I383" s="16">
        <v>0.97345529924354934</v>
      </c>
    </row>
    <row r="384" spans="1:9" x14ac:dyDescent="0.3">
      <c r="A384" t="s">
        <v>407</v>
      </c>
      <c r="B384" t="s">
        <v>53</v>
      </c>
      <c r="C384" s="1">
        <v>44755</v>
      </c>
      <c r="D384" t="s">
        <v>61</v>
      </c>
      <c r="E384" t="s">
        <v>66</v>
      </c>
      <c r="F384">
        <v>250</v>
      </c>
      <c r="G384" t="s">
        <v>2</v>
      </c>
      <c r="H384" s="2">
        <v>3</v>
      </c>
      <c r="I384" s="16">
        <v>0.56733394419124217</v>
      </c>
    </row>
    <row r="385" spans="1:9" x14ac:dyDescent="0.3">
      <c r="A385" t="s">
        <v>408</v>
      </c>
      <c r="B385" t="s">
        <v>54</v>
      </c>
      <c r="C385" s="1">
        <v>44755</v>
      </c>
      <c r="D385" t="s">
        <v>62</v>
      </c>
      <c r="E385" t="s">
        <v>67</v>
      </c>
      <c r="F385">
        <v>130</v>
      </c>
      <c r="G385" t="s">
        <v>0</v>
      </c>
      <c r="H385" s="2">
        <v>6</v>
      </c>
      <c r="I385" s="16">
        <v>0.37928431149731212</v>
      </c>
    </row>
    <row r="386" spans="1:9" x14ac:dyDescent="0.3">
      <c r="A386" t="s">
        <v>409</v>
      </c>
      <c r="B386" t="s">
        <v>55</v>
      </c>
      <c r="C386" s="1">
        <v>44764</v>
      </c>
      <c r="D386" t="s">
        <v>63</v>
      </c>
      <c r="E386" t="s">
        <v>66</v>
      </c>
      <c r="F386">
        <v>60</v>
      </c>
      <c r="G386" t="s">
        <v>1</v>
      </c>
      <c r="H386" s="2">
        <v>15</v>
      </c>
      <c r="I386" s="16">
        <v>0.62865911330533553</v>
      </c>
    </row>
    <row r="387" spans="1:9" x14ac:dyDescent="0.3">
      <c r="A387" t="s">
        <v>410</v>
      </c>
      <c r="B387" t="s">
        <v>56</v>
      </c>
      <c r="C387" s="1">
        <v>44735</v>
      </c>
      <c r="D387" t="s">
        <v>64</v>
      </c>
      <c r="E387" t="s">
        <v>67</v>
      </c>
      <c r="F387">
        <v>95</v>
      </c>
      <c r="G387" t="s">
        <v>2</v>
      </c>
      <c r="H387" s="2">
        <v>6</v>
      </c>
      <c r="I387" s="16">
        <v>0.37937934610324464</v>
      </c>
    </row>
    <row r="388" spans="1:9" x14ac:dyDescent="0.3">
      <c r="A388" t="s">
        <v>411</v>
      </c>
      <c r="B388" t="s">
        <v>51</v>
      </c>
      <c r="C388" s="1">
        <v>44734</v>
      </c>
      <c r="D388" t="s">
        <v>59</v>
      </c>
      <c r="E388" t="s">
        <v>66</v>
      </c>
      <c r="F388">
        <v>72</v>
      </c>
      <c r="G388" t="s">
        <v>0</v>
      </c>
      <c r="H388" s="2">
        <v>11</v>
      </c>
      <c r="I388" s="16">
        <v>0.35891515866951118</v>
      </c>
    </row>
    <row r="389" spans="1:9" x14ac:dyDescent="0.3">
      <c r="A389" t="s">
        <v>412</v>
      </c>
      <c r="B389" t="s">
        <v>52</v>
      </c>
      <c r="C389" s="1">
        <v>44728</v>
      </c>
      <c r="D389" t="s">
        <v>60</v>
      </c>
      <c r="E389" t="s">
        <v>67</v>
      </c>
      <c r="F389">
        <v>65</v>
      </c>
      <c r="G389" t="s">
        <v>1</v>
      </c>
      <c r="H389" s="2">
        <v>13</v>
      </c>
      <c r="I389" s="16">
        <v>0.90122352916020354</v>
      </c>
    </row>
    <row r="390" spans="1:9" x14ac:dyDescent="0.3">
      <c r="A390" t="s">
        <v>413</v>
      </c>
      <c r="B390" t="s">
        <v>53</v>
      </c>
      <c r="C390" s="1">
        <v>44739</v>
      </c>
      <c r="D390" t="s">
        <v>61</v>
      </c>
      <c r="E390" t="s">
        <v>67</v>
      </c>
      <c r="F390">
        <v>250</v>
      </c>
      <c r="G390" t="s">
        <v>2</v>
      </c>
      <c r="H390" s="2">
        <v>3</v>
      </c>
      <c r="I390" s="16">
        <v>0.37786597877728811</v>
      </c>
    </row>
    <row r="391" spans="1:9" x14ac:dyDescent="0.3">
      <c r="A391" t="s">
        <v>414</v>
      </c>
      <c r="B391" t="s">
        <v>54</v>
      </c>
      <c r="C391" s="1">
        <v>44765</v>
      </c>
      <c r="D391" t="s">
        <v>62</v>
      </c>
      <c r="E391" t="s">
        <v>67</v>
      </c>
      <c r="F391">
        <v>130</v>
      </c>
      <c r="G391" t="s">
        <v>0</v>
      </c>
      <c r="H391" s="2">
        <v>3</v>
      </c>
      <c r="I391" s="16">
        <v>0.38913445453338702</v>
      </c>
    </row>
    <row r="392" spans="1:9" x14ac:dyDescent="0.3">
      <c r="A392" t="s">
        <v>415</v>
      </c>
      <c r="B392" t="s">
        <v>51</v>
      </c>
      <c r="C392" s="1">
        <v>44740</v>
      </c>
      <c r="D392" t="s">
        <v>59</v>
      </c>
      <c r="E392" t="s">
        <v>67</v>
      </c>
      <c r="F392">
        <v>72</v>
      </c>
      <c r="G392" t="s">
        <v>1</v>
      </c>
      <c r="H392" s="2">
        <v>12</v>
      </c>
      <c r="I392" s="16">
        <v>0.60714667724340543</v>
      </c>
    </row>
    <row r="393" spans="1:9" x14ac:dyDescent="0.3">
      <c r="A393" t="s">
        <v>416</v>
      </c>
      <c r="B393" t="s">
        <v>52</v>
      </c>
      <c r="C393" s="1">
        <v>44734</v>
      </c>
      <c r="D393" t="s">
        <v>60</v>
      </c>
      <c r="E393" t="s">
        <v>67</v>
      </c>
      <c r="F393">
        <v>65</v>
      </c>
      <c r="G393" t="s">
        <v>2</v>
      </c>
      <c r="H393" s="2">
        <v>8</v>
      </c>
      <c r="I393" s="16">
        <v>0.17261163513710231</v>
      </c>
    </row>
    <row r="394" spans="1:9" x14ac:dyDescent="0.3">
      <c r="A394" t="s">
        <v>417</v>
      </c>
      <c r="B394" t="s">
        <v>53</v>
      </c>
      <c r="C394" s="1">
        <v>44727</v>
      </c>
      <c r="D394" t="s">
        <v>61</v>
      </c>
      <c r="E394" t="s">
        <v>66</v>
      </c>
      <c r="F394">
        <v>250</v>
      </c>
      <c r="G394" t="s">
        <v>0</v>
      </c>
      <c r="H394" s="2">
        <v>1</v>
      </c>
      <c r="I394" s="16">
        <v>3.4451566476951467E-2</v>
      </c>
    </row>
    <row r="395" spans="1:9" x14ac:dyDescent="0.3">
      <c r="A395" t="s">
        <v>418</v>
      </c>
      <c r="B395" t="s">
        <v>54</v>
      </c>
      <c r="C395" s="1">
        <v>44737</v>
      </c>
      <c r="D395" t="s">
        <v>62</v>
      </c>
      <c r="E395" t="s">
        <v>67</v>
      </c>
      <c r="F395">
        <v>130</v>
      </c>
      <c r="G395" t="s">
        <v>1</v>
      </c>
      <c r="H395" s="2">
        <v>4</v>
      </c>
      <c r="I395" s="16">
        <v>0.36600821552214791</v>
      </c>
    </row>
    <row r="396" spans="1:9" x14ac:dyDescent="0.3">
      <c r="A396" t="s">
        <v>419</v>
      </c>
      <c r="B396" t="s">
        <v>55</v>
      </c>
      <c r="C396" s="1">
        <v>44747</v>
      </c>
      <c r="D396" t="s">
        <v>63</v>
      </c>
      <c r="E396" t="s">
        <v>66</v>
      </c>
      <c r="F396">
        <v>60</v>
      </c>
      <c r="G396" t="s">
        <v>2</v>
      </c>
      <c r="H396" s="2">
        <v>4</v>
      </c>
      <c r="I396" s="16">
        <v>0.36876304797324455</v>
      </c>
    </row>
    <row r="397" spans="1:9" x14ac:dyDescent="0.3">
      <c r="A397" t="s">
        <v>420</v>
      </c>
      <c r="B397" t="s">
        <v>51</v>
      </c>
      <c r="C397" s="1">
        <v>44754</v>
      </c>
      <c r="D397" t="s">
        <v>59</v>
      </c>
      <c r="E397" t="s">
        <v>67</v>
      </c>
      <c r="F397">
        <v>72</v>
      </c>
      <c r="G397" t="s">
        <v>0</v>
      </c>
      <c r="H397" s="2">
        <v>12</v>
      </c>
      <c r="I397" s="16">
        <v>0.78491525862060318</v>
      </c>
    </row>
    <row r="398" spans="1:9" x14ac:dyDescent="0.3">
      <c r="A398" t="s">
        <v>421</v>
      </c>
      <c r="B398" t="s">
        <v>52</v>
      </c>
      <c r="C398" s="1">
        <v>44760</v>
      </c>
      <c r="D398" t="s">
        <v>60</v>
      </c>
      <c r="E398" t="s">
        <v>66</v>
      </c>
      <c r="F398">
        <v>65</v>
      </c>
      <c r="G398" t="s">
        <v>1</v>
      </c>
      <c r="H398" s="2">
        <v>4</v>
      </c>
      <c r="I398" s="16">
        <v>0.89433154555842931</v>
      </c>
    </row>
    <row r="399" spans="1:9" x14ac:dyDescent="0.3">
      <c r="A399" t="s">
        <v>422</v>
      </c>
      <c r="B399" t="s">
        <v>53</v>
      </c>
      <c r="C399" s="1">
        <v>44759</v>
      </c>
      <c r="D399" t="s">
        <v>61</v>
      </c>
      <c r="E399" t="s">
        <v>67</v>
      </c>
      <c r="F399">
        <v>250</v>
      </c>
      <c r="G399" t="s">
        <v>2</v>
      </c>
      <c r="H399" s="2">
        <v>1</v>
      </c>
      <c r="I399" s="16">
        <v>0.54494310667938251</v>
      </c>
    </row>
    <row r="400" spans="1:9" x14ac:dyDescent="0.3">
      <c r="A400" t="s">
        <v>423</v>
      </c>
      <c r="B400" t="s">
        <v>54</v>
      </c>
      <c r="C400" s="1">
        <v>44735</v>
      </c>
      <c r="D400" t="s">
        <v>62</v>
      </c>
      <c r="E400" t="s">
        <v>66</v>
      </c>
      <c r="F400">
        <v>130</v>
      </c>
      <c r="G400" t="s">
        <v>0</v>
      </c>
      <c r="H400" s="2">
        <v>7</v>
      </c>
      <c r="I400" s="16">
        <v>0.84443209424513666</v>
      </c>
    </row>
    <row r="401" spans="1:9" x14ac:dyDescent="0.3">
      <c r="A401" t="s">
        <v>424</v>
      </c>
      <c r="B401" t="s">
        <v>51</v>
      </c>
      <c r="C401" s="1">
        <v>44734</v>
      </c>
      <c r="D401" t="s">
        <v>59</v>
      </c>
      <c r="E401" t="s">
        <v>67</v>
      </c>
      <c r="F401">
        <v>72</v>
      </c>
      <c r="G401" t="s">
        <v>1</v>
      </c>
      <c r="H401" s="2">
        <v>7</v>
      </c>
      <c r="I401" s="16">
        <v>0.11084077878058052</v>
      </c>
    </row>
    <row r="402" spans="1:9" x14ac:dyDescent="0.3">
      <c r="A402" t="s">
        <v>425</v>
      </c>
      <c r="B402" t="s">
        <v>52</v>
      </c>
      <c r="C402" s="1">
        <v>44753</v>
      </c>
      <c r="D402" t="s">
        <v>60</v>
      </c>
      <c r="E402" t="s">
        <v>66</v>
      </c>
      <c r="F402">
        <v>65</v>
      </c>
      <c r="G402" t="s">
        <v>2</v>
      </c>
      <c r="H402" s="2">
        <v>9</v>
      </c>
      <c r="I402" s="16">
        <v>0.26630312920291821</v>
      </c>
    </row>
    <row r="403" spans="1:9" x14ac:dyDescent="0.3">
      <c r="A403" t="s">
        <v>426</v>
      </c>
      <c r="B403" t="s">
        <v>53</v>
      </c>
      <c r="C403" s="1">
        <v>44739</v>
      </c>
      <c r="D403" t="s">
        <v>61</v>
      </c>
      <c r="E403" t="s">
        <v>67</v>
      </c>
      <c r="F403">
        <v>250</v>
      </c>
      <c r="G403" t="s">
        <v>0</v>
      </c>
      <c r="H403" s="2">
        <v>3</v>
      </c>
      <c r="I403" s="16">
        <v>0.13279161787420113</v>
      </c>
    </row>
    <row r="404" spans="1:9" x14ac:dyDescent="0.3">
      <c r="A404" t="s">
        <v>427</v>
      </c>
      <c r="B404" t="s">
        <v>54</v>
      </c>
      <c r="C404" s="1">
        <v>44740</v>
      </c>
      <c r="D404" t="s">
        <v>62</v>
      </c>
      <c r="E404" t="s">
        <v>66</v>
      </c>
      <c r="F404">
        <v>130</v>
      </c>
      <c r="G404" t="s">
        <v>1</v>
      </c>
      <c r="H404" s="2">
        <v>4</v>
      </c>
      <c r="I404" s="16">
        <v>0.20794478004129135</v>
      </c>
    </row>
    <row r="405" spans="1:9" x14ac:dyDescent="0.3">
      <c r="A405" t="s">
        <v>428</v>
      </c>
      <c r="B405" t="s">
        <v>55</v>
      </c>
      <c r="C405" s="1">
        <v>44748</v>
      </c>
      <c r="D405" t="s">
        <v>63</v>
      </c>
      <c r="E405" t="s">
        <v>67</v>
      </c>
      <c r="F405">
        <v>60</v>
      </c>
      <c r="G405" t="s">
        <v>2</v>
      </c>
      <c r="H405" s="2">
        <v>12</v>
      </c>
      <c r="I405" s="16">
        <v>0.76031378549826045</v>
      </c>
    </row>
    <row r="406" spans="1:9" x14ac:dyDescent="0.3">
      <c r="A406" t="s">
        <v>429</v>
      </c>
      <c r="B406" t="s">
        <v>56</v>
      </c>
      <c r="C406" s="1">
        <v>44731</v>
      </c>
      <c r="D406" t="s">
        <v>64</v>
      </c>
      <c r="E406" t="s">
        <v>66</v>
      </c>
      <c r="F406">
        <v>95</v>
      </c>
      <c r="G406" t="s">
        <v>0</v>
      </c>
      <c r="H406" s="2">
        <v>8</v>
      </c>
      <c r="I406" s="16">
        <v>0.23804641255169789</v>
      </c>
    </row>
    <row r="407" spans="1:9" x14ac:dyDescent="0.3">
      <c r="A407" t="s">
        <v>430</v>
      </c>
      <c r="B407" t="s">
        <v>51</v>
      </c>
      <c r="C407" s="1">
        <v>44763</v>
      </c>
      <c r="D407" t="s">
        <v>59</v>
      </c>
      <c r="E407" t="s">
        <v>67</v>
      </c>
      <c r="F407">
        <v>72</v>
      </c>
      <c r="G407" t="s">
        <v>1</v>
      </c>
      <c r="H407" s="2">
        <v>5</v>
      </c>
      <c r="I407" s="16">
        <v>0.12523689369936652</v>
      </c>
    </row>
    <row r="408" spans="1:9" x14ac:dyDescent="0.3">
      <c r="A408" t="s">
        <v>431</v>
      </c>
      <c r="B408" t="s">
        <v>52</v>
      </c>
      <c r="C408" s="1">
        <v>44733</v>
      </c>
      <c r="D408" t="s">
        <v>60</v>
      </c>
      <c r="E408" t="s">
        <v>66</v>
      </c>
      <c r="F408">
        <v>65</v>
      </c>
      <c r="G408" t="s">
        <v>2</v>
      </c>
      <c r="H408" s="2">
        <v>4</v>
      </c>
      <c r="I408" s="16">
        <v>6.7101746358327108E-2</v>
      </c>
    </row>
    <row r="409" spans="1:9" x14ac:dyDescent="0.3">
      <c r="A409" t="s">
        <v>432</v>
      </c>
      <c r="B409" t="s">
        <v>53</v>
      </c>
      <c r="C409" s="1">
        <v>44746</v>
      </c>
      <c r="D409" t="s">
        <v>61</v>
      </c>
      <c r="E409" t="s">
        <v>67</v>
      </c>
      <c r="F409">
        <v>250</v>
      </c>
      <c r="G409" t="s">
        <v>0</v>
      </c>
      <c r="H409" s="2">
        <v>2</v>
      </c>
      <c r="I409" s="16">
        <v>0.98970617123906524</v>
      </c>
    </row>
    <row r="410" spans="1:9" x14ac:dyDescent="0.3">
      <c r="A410" t="s">
        <v>433</v>
      </c>
      <c r="B410" t="s">
        <v>54</v>
      </c>
      <c r="C410" s="1">
        <v>44755</v>
      </c>
      <c r="D410" t="s">
        <v>62</v>
      </c>
      <c r="E410" t="s">
        <v>66</v>
      </c>
      <c r="F410">
        <v>130</v>
      </c>
      <c r="G410" t="s">
        <v>1</v>
      </c>
      <c r="H410" s="2">
        <v>2</v>
      </c>
      <c r="I410" s="16">
        <v>0.26202679185175082</v>
      </c>
    </row>
    <row r="411" spans="1:9" x14ac:dyDescent="0.3">
      <c r="A411" t="s">
        <v>434</v>
      </c>
      <c r="B411" t="s">
        <v>51</v>
      </c>
      <c r="C411" s="1">
        <v>44755</v>
      </c>
      <c r="D411" t="s">
        <v>59</v>
      </c>
      <c r="E411" t="s">
        <v>67</v>
      </c>
      <c r="F411">
        <v>72</v>
      </c>
      <c r="G411" t="s">
        <v>2</v>
      </c>
      <c r="H411" s="2">
        <v>10</v>
      </c>
      <c r="I411" s="16">
        <v>0.87263143953916489</v>
      </c>
    </row>
    <row r="412" spans="1:9" x14ac:dyDescent="0.3">
      <c r="A412" t="s">
        <v>435</v>
      </c>
      <c r="B412" t="s">
        <v>52</v>
      </c>
      <c r="C412" s="1">
        <v>44727</v>
      </c>
      <c r="D412" t="s">
        <v>60</v>
      </c>
      <c r="E412" t="s">
        <v>67</v>
      </c>
      <c r="F412">
        <v>65</v>
      </c>
      <c r="G412" t="s">
        <v>0</v>
      </c>
      <c r="H412" s="2">
        <v>6</v>
      </c>
      <c r="I412" s="16">
        <v>0.76778137062272289</v>
      </c>
    </row>
    <row r="413" spans="1:9" x14ac:dyDescent="0.3">
      <c r="A413" t="s">
        <v>436</v>
      </c>
      <c r="B413" t="s">
        <v>53</v>
      </c>
      <c r="C413" s="1">
        <v>44746</v>
      </c>
      <c r="D413" t="s">
        <v>61</v>
      </c>
      <c r="E413" t="s">
        <v>67</v>
      </c>
      <c r="F413">
        <v>250</v>
      </c>
      <c r="G413" t="s">
        <v>1</v>
      </c>
      <c r="H413" s="2">
        <v>1</v>
      </c>
      <c r="I413" s="16">
        <v>0.15750010631121669</v>
      </c>
    </row>
    <row r="414" spans="1:9" x14ac:dyDescent="0.3">
      <c r="A414" t="s">
        <v>437</v>
      </c>
      <c r="B414" t="s">
        <v>54</v>
      </c>
      <c r="C414" s="1">
        <v>44740</v>
      </c>
      <c r="D414" t="s">
        <v>59</v>
      </c>
      <c r="E414" t="s">
        <v>67</v>
      </c>
      <c r="F414">
        <v>72</v>
      </c>
      <c r="G414" t="s">
        <v>2</v>
      </c>
      <c r="H414" s="2">
        <v>9</v>
      </c>
      <c r="I414" s="16">
        <v>0.53570171465492589</v>
      </c>
    </row>
    <row r="415" spans="1:9" x14ac:dyDescent="0.3">
      <c r="A415" t="s">
        <v>438</v>
      </c>
      <c r="B415" t="s">
        <v>51</v>
      </c>
      <c r="C415" s="1">
        <v>44743</v>
      </c>
      <c r="D415" t="s">
        <v>60</v>
      </c>
      <c r="E415" t="s">
        <v>67</v>
      </c>
      <c r="F415">
        <v>65</v>
      </c>
      <c r="G415" t="s">
        <v>0</v>
      </c>
      <c r="H415" s="2">
        <v>7</v>
      </c>
      <c r="I415" s="16">
        <v>0.88217490075954386</v>
      </c>
    </row>
    <row r="416" spans="1:9" x14ac:dyDescent="0.3">
      <c r="A416" t="s">
        <v>439</v>
      </c>
      <c r="B416" t="s">
        <v>52</v>
      </c>
      <c r="C416" s="1">
        <v>44737</v>
      </c>
      <c r="D416" t="s">
        <v>61</v>
      </c>
      <c r="E416" t="s">
        <v>66</v>
      </c>
      <c r="F416">
        <v>250</v>
      </c>
      <c r="G416" t="s">
        <v>0</v>
      </c>
      <c r="H416" s="2">
        <v>3</v>
      </c>
      <c r="I416" s="16">
        <v>7.4850081465574259E-2</v>
      </c>
    </row>
    <row r="417" spans="1:9" x14ac:dyDescent="0.3">
      <c r="A417" t="s">
        <v>440</v>
      </c>
      <c r="B417" t="s">
        <v>53</v>
      </c>
      <c r="C417" s="1">
        <v>44757</v>
      </c>
      <c r="D417" t="s">
        <v>62</v>
      </c>
      <c r="E417" t="s">
        <v>67</v>
      </c>
      <c r="F417">
        <v>130</v>
      </c>
      <c r="G417" t="s">
        <v>1</v>
      </c>
      <c r="H417" s="2">
        <v>4</v>
      </c>
      <c r="I417" s="16">
        <v>0.4623515242530305</v>
      </c>
    </row>
    <row r="418" spans="1:9" x14ac:dyDescent="0.3">
      <c r="A418" t="s">
        <v>441</v>
      </c>
      <c r="B418" t="s">
        <v>54</v>
      </c>
      <c r="C418" s="1">
        <v>44745</v>
      </c>
      <c r="D418" t="s">
        <v>59</v>
      </c>
      <c r="E418" t="s">
        <v>66</v>
      </c>
      <c r="F418">
        <v>72</v>
      </c>
      <c r="G418" t="s">
        <v>2</v>
      </c>
      <c r="H418" s="2">
        <v>10</v>
      </c>
      <c r="I418" s="16">
        <v>0.34462700763177134</v>
      </c>
    </row>
    <row r="419" spans="1:9" x14ac:dyDescent="0.3">
      <c r="A419" t="s">
        <v>442</v>
      </c>
      <c r="B419" t="s">
        <v>51</v>
      </c>
      <c r="C419" s="1">
        <v>44760</v>
      </c>
      <c r="D419" t="s">
        <v>60</v>
      </c>
      <c r="E419" t="s">
        <v>67</v>
      </c>
      <c r="F419">
        <v>65</v>
      </c>
      <c r="G419" t="s">
        <v>0</v>
      </c>
      <c r="H419" s="2">
        <v>7</v>
      </c>
      <c r="I419" s="16">
        <v>0.69911624131260175</v>
      </c>
    </row>
    <row r="420" spans="1:9" x14ac:dyDescent="0.3">
      <c r="A420" t="s">
        <v>443</v>
      </c>
      <c r="B420" t="s">
        <v>52</v>
      </c>
      <c r="C420" s="1">
        <v>44750</v>
      </c>
      <c r="D420" t="s">
        <v>61</v>
      </c>
      <c r="E420" t="s">
        <v>66</v>
      </c>
      <c r="F420">
        <v>250</v>
      </c>
      <c r="G420" t="s">
        <v>1</v>
      </c>
      <c r="H420" s="2">
        <v>1</v>
      </c>
      <c r="I420" s="16">
        <v>1.890946986705988E-2</v>
      </c>
    </row>
    <row r="421" spans="1:9" x14ac:dyDescent="0.3">
      <c r="A421" t="s">
        <v>444</v>
      </c>
      <c r="B421" t="s">
        <v>53</v>
      </c>
      <c r="C421" s="1">
        <v>44742</v>
      </c>
      <c r="D421" t="s">
        <v>62</v>
      </c>
      <c r="E421" t="s">
        <v>67</v>
      </c>
      <c r="F421">
        <v>130</v>
      </c>
      <c r="G421" t="s">
        <v>2</v>
      </c>
      <c r="H421" s="2">
        <v>5</v>
      </c>
      <c r="I421" s="16">
        <v>0.73245470088007136</v>
      </c>
    </row>
    <row r="422" spans="1:9" x14ac:dyDescent="0.3">
      <c r="A422" t="s">
        <v>445</v>
      </c>
      <c r="B422" t="s">
        <v>54</v>
      </c>
      <c r="C422" s="1">
        <v>44754</v>
      </c>
      <c r="D422" t="s">
        <v>63</v>
      </c>
      <c r="E422" t="s">
        <v>66</v>
      </c>
      <c r="F422">
        <v>60</v>
      </c>
      <c r="G422" t="s">
        <v>0</v>
      </c>
      <c r="H422" s="2">
        <v>5</v>
      </c>
      <c r="I422" s="16">
        <v>0.72297451744539321</v>
      </c>
    </row>
    <row r="423" spans="1:9" x14ac:dyDescent="0.3">
      <c r="A423" t="s">
        <v>446</v>
      </c>
      <c r="B423" t="s">
        <v>55</v>
      </c>
      <c r="C423" s="1">
        <v>44746</v>
      </c>
      <c r="D423" t="s">
        <v>59</v>
      </c>
      <c r="E423" t="s">
        <v>67</v>
      </c>
      <c r="F423">
        <v>72</v>
      </c>
      <c r="G423" t="s">
        <v>1</v>
      </c>
      <c r="H423" s="2">
        <v>9</v>
      </c>
      <c r="I423" s="16">
        <v>0.97417776505363807</v>
      </c>
    </row>
    <row r="424" spans="1:9" x14ac:dyDescent="0.3">
      <c r="A424" t="s">
        <v>447</v>
      </c>
      <c r="B424" t="s">
        <v>51</v>
      </c>
      <c r="C424" s="1">
        <v>44752</v>
      </c>
      <c r="D424" t="s">
        <v>60</v>
      </c>
      <c r="E424" t="s">
        <v>66</v>
      </c>
      <c r="F424">
        <v>65</v>
      </c>
      <c r="G424" t="s">
        <v>2</v>
      </c>
      <c r="H424" s="2">
        <v>7</v>
      </c>
      <c r="I424" s="16">
        <v>0.92441295707634297</v>
      </c>
    </row>
    <row r="425" spans="1:9" x14ac:dyDescent="0.3">
      <c r="A425" t="s">
        <v>448</v>
      </c>
      <c r="B425" t="s">
        <v>52</v>
      </c>
      <c r="C425" s="1">
        <v>44725</v>
      </c>
      <c r="D425" t="s">
        <v>61</v>
      </c>
      <c r="E425" t="s">
        <v>67</v>
      </c>
      <c r="F425">
        <v>250</v>
      </c>
      <c r="G425" t="s">
        <v>0</v>
      </c>
      <c r="H425" s="2">
        <v>3</v>
      </c>
      <c r="I425" s="16">
        <v>0.34841204291363526</v>
      </c>
    </row>
    <row r="426" spans="1:9" x14ac:dyDescent="0.3">
      <c r="A426" t="s">
        <v>449</v>
      </c>
      <c r="B426" t="s">
        <v>53</v>
      </c>
      <c r="C426" s="1">
        <v>44734</v>
      </c>
      <c r="D426" t="s">
        <v>62</v>
      </c>
      <c r="E426" t="s">
        <v>66</v>
      </c>
      <c r="F426">
        <v>130</v>
      </c>
      <c r="G426" t="s">
        <v>1</v>
      </c>
      <c r="H426" s="2">
        <v>7</v>
      </c>
      <c r="I426" s="16">
        <v>0.36862795502486845</v>
      </c>
    </row>
    <row r="427" spans="1:9" x14ac:dyDescent="0.3">
      <c r="A427" t="s">
        <v>450</v>
      </c>
      <c r="B427" t="s">
        <v>54</v>
      </c>
      <c r="C427" s="1">
        <v>44761</v>
      </c>
      <c r="D427" t="s">
        <v>59</v>
      </c>
      <c r="E427" t="s">
        <v>67</v>
      </c>
      <c r="F427">
        <v>72</v>
      </c>
      <c r="G427" t="s">
        <v>2</v>
      </c>
      <c r="H427" s="2">
        <v>12</v>
      </c>
      <c r="I427" s="16">
        <v>0.38279600115505574</v>
      </c>
    </row>
    <row r="428" spans="1:9" x14ac:dyDescent="0.3">
      <c r="A428" t="s">
        <v>451</v>
      </c>
      <c r="B428" t="s">
        <v>51</v>
      </c>
      <c r="C428" s="1">
        <v>44735</v>
      </c>
      <c r="D428" t="s">
        <v>60</v>
      </c>
      <c r="E428" t="s">
        <v>66</v>
      </c>
      <c r="F428">
        <v>65</v>
      </c>
      <c r="G428" t="s">
        <v>0</v>
      </c>
      <c r="H428" s="2">
        <v>7</v>
      </c>
      <c r="I428" s="16">
        <v>0.77278161923763322</v>
      </c>
    </row>
    <row r="429" spans="1:9" x14ac:dyDescent="0.3">
      <c r="A429" t="s">
        <v>452</v>
      </c>
      <c r="B429" t="s">
        <v>52</v>
      </c>
      <c r="C429" s="1">
        <v>44753</v>
      </c>
      <c r="D429" t="s">
        <v>61</v>
      </c>
      <c r="E429" t="s">
        <v>67</v>
      </c>
      <c r="F429">
        <v>250</v>
      </c>
      <c r="G429" t="s">
        <v>1</v>
      </c>
      <c r="H429" s="2">
        <v>3</v>
      </c>
      <c r="I429" s="16">
        <v>0.98194581947705439</v>
      </c>
    </row>
    <row r="430" spans="1:9" x14ac:dyDescent="0.3">
      <c r="A430" t="s">
        <v>453</v>
      </c>
      <c r="B430" t="s">
        <v>53</v>
      </c>
      <c r="C430" s="1">
        <v>44732</v>
      </c>
      <c r="D430" t="s">
        <v>62</v>
      </c>
      <c r="E430" t="s">
        <v>66</v>
      </c>
      <c r="F430">
        <v>130</v>
      </c>
      <c r="G430" t="s">
        <v>2</v>
      </c>
      <c r="H430" s="2">
        <v>6</v>
      </c>
      <c r="I430" s="16">
        <v>0.24372632968767749</v>
      </c>
    </row>
    <row r="431" spans="1:9" x14ac:dyDescent="0.3">
      <c r="A431" t="s">
        <v>454</v>
      </c>
      <c r="B431" t="s">
        <v>54</v>
      </c>
      <c r="C431" s="1">
        <v>44748</v>
      </c>
      <c r="D431" t="s">
        <v>63</v>
      </c>
      <c r="E431" t="s">
        <v>67</v>
      </c>
      <c r="F431">
        <v>60</v>
      </c>
      <c r="G431" t="s">
        <v>0</v>
      </c>
      <c r="H431" s="2">
        <v>14</v>
      </c>
      <c r="I431" s="16">
        <v>0.50977491571581557</v>
      </c>
    </row>
    <row r="432" spans="1:9" x14ac:dyDescent="0.3">
      <c r="A432" t="s">
        <v>455</v>
      </c>
      <c r="B432" t="s">
        <v>55</v>
      </c>
      <c r="C432" s="1">
        <v>44731</v>
      </c>
      <c r="D432" t="s">
        <v>64</v>
      </c>
      <c r="E432" t="s">
        <v>66</v>
      </c>
      <c r="F432">
        <v>95</v>
      </c>
      <c r="G432" t="s">
        <v>1</v>
      </c>
      <c r="H432" s="2">
        <v>7</v>
      </c>
      <c r="I432" s="16">
        <v>0.99123744515485723</v>
      </c>
    </row>
    <row r="433" spans="1:9" x14ac:dyDescent="0.3">
      <c r="A433" t="s">
        <v>456</v>
      </c>
      <c r="B433" t="s">
        <v>56</v>
      </c>
      <c r="C433" s="1">
        <v>44725</v>
      </c>
      <c r="D433" t="s">
        <v>59</v>
      </c>
      <c r="E433" t="s">
        <v>67</v>
      </c>
      <c r="F433">
        <v>72</v>
      </c>
      <c r="G433" t="s">
        <v>2</v>
      </c>
      <c r="H433" s="2">
        <v>5</v>
      </c>
      <c r="I433" s="16">
        <v>0.58001027642401182</v>
      </c>
    </row>
    <row r="434" spans="1:9" x14ac:dyDescent="0.3">
      <c r="A434" t="s">
        <v>457</v>
      </c>
      <c r="B434" t="s">
        <v>51</v>
      </c>
      <c r="C434" s="1">
        <v>44753</v>
      </c>
      <c r="D434" t="s">
        <v>60</v>
      </c>
      <c r="E434" t="s">
        <v>67</v>
      </c>
      <c r="F434">
        <v>65</v>
      </c>
      <c r="G434" t="s">
        <v>0</v>
      </c>
      <c r="H434" s="2">
        <v>8</v>
      </c>
      <c r="I434" s="16">
        <v>0.20099809520802481</v>
      </c>
    </row>
    <row r="435" spans="1:9" x14ac:dyDescent="0.3">
      <c r="A435" t="s">
        <v>458</v>
      </c>
      <c r="B435" t="s">
        <v>52</v>
      </c>
      <c r="C435" s="1">
        <v>44738</v>
      </c>
      <c r="D435" t="s">
        <v>61</v>
      </c>
      <c r="E435" t="s">
        <v>67</v>
      </c>
      <c r="F435">
        <v>250</v>
      </c>
      <c r="G435" t="s">
        <v>1</v>
      </c>
      <c r="H435" s="2">
        <v>3</v>
      </c>
      <c r="I435" s="16">
        <v>8.7589082057090373E-2</v>
      </c>
    </row>
    <row r="436" spans="1:9" x14ac:dyDescent="0.3">
      <c r="A436" t="s">
        <v>459</v>
      </c>
      <c r="B436" t="s">
        <v>53</v>
      </c>
      <c r="C436" s="1">
        <v>44762</v>
      </c>
      <c r="D436" t="s">
        <v>62</v>
      </c>
      <c r="E436" t="s">
        <v>67</v>
      </c>
      <c r="F436">
        <v>130</v>
      </c>
      <c r="G436" t="s">
        <v>2</v>
      </c>
      <c r="H436" s="2">
        <v>4</v>
      </c>
      <c r="I436" s="16">
        <v>0.92203517798439572</v>
      </c>
    </row>
    <row r="437" spans="1:9" x14ac:dyDescent="0.3">
      <c r="A437" t="s">
        <v>460</v>
      </c>
      <c r="B437" t="s">
        <v>54</v>
      </c>
      <c r="C437" s="1">
        <v>44756</v>
      </c>
      <c r="D437" t="s">
        <v>59</v>
      </c>
      <c r="E437" t="s">
        <v>67</v>
      </c>
      <c r="F437">
        <v>72</v>
      </c>
      <c r="G437" t="s">
        <v>0</v>
      </c>
      <c r="H437" s="2">
        <v>10</v>
      </c>
      <c r="I437" s="16">
        <v>0.40646951216415605</v>
      </c>
    </row>
    <row r="438" spans="1:9" x14ac:dyDescent="0.3">
      <c r="A438" t="s">
        <v>461</v>
      </c>
      <c r="B438" t="s">
        <v>51</v>
      </c>
      <c r="C438" s="1">
        <v>44744</v>
      </c>
      <c r="D438" t="s">
        <v>60</v>
      </c>
      <c r="E438" t="s">
        <v>66</v>
      </c>
      <c r="F438">
        <v>65</v>
      </c>
      <c r="G438" t="s">
        <v>1</v>
      </c>
      <c r="H438" s="2">
        <v>4</v>
      </c>
      <c r="I438" s="16">
        <v>0.45522048494031297</v>
      </c>
    </row>
    <row r="439" spans="1:9" x14ac:dyDescent="0.3">
      <c r="A439" t="s">
        <v>462</v>
      </c>
      <c r="B439" t="s">
        <v>52</v>
      </c>
      <c r="C439" s="1">
        <v>44753</v>
      </c>
      <c r="D439" t="s">
        <v>61</v>
      </c>
      <c r="E439" t="s">
        <v>67</v>
      </c>
      <c r="F439">
        <v>250</v>
      </c>
      <c r="G439" t="s">
        <v>2</v>
      </c>
      <c r="H439" s="2">
        <v>3</v>
      </c>
      <c r="I439" s="16">
        <v>0.45514828780898176</v>
      </c>
    </row>
    <row r="440" spans="1:9" x14ac:dyDescent="0.3">
      <c r="A440" t="s">
        <v>463</v>
      </c>
      <c r="B440" t="s">
        <v>53</v>
      </c>
      <c r="C440" s="1">
        <v>44762</v>
      </c>
      <c r="D440" t="s">
        <v>62</v>
      </c>
      <c r="E440" t="s">
        <v>66</v>
      </c>
      <c r="F440">
        <v>130</v>
      </c>
      <c r="G440" t="s">
        <v>0</v>
      </c>
      <c r="H440" s="2">
        <v>2</v>
      </c>
      <c r="I440" s="16">
        <v>0.30126486834826394</v>
      </c>
    </row>
    <row r="441" spans="1:9" x14ac:dyDescent="0.3">
      <c r="A441" t="s">
        <v>464</v>
      </c>
      <c r="B441" t="s">
        <v>54</v>
      </c>
      <c r="C441" s="1">
        <v>44740</v>
      </c>
      <c r="D441" t="s">
        <v>63</v>
      </c>
      <c r="E441" t="s">
        <v>67</v>
      </c>
      <c r="F441">
        <v>60</v>
      </c>
      <c r="G441" t="s">
        <v>1</v>
      </c>
      <c r="H441" s="2">
        <v>4</v>
      </c>
      <c r="I441" s="16">
        <v>0.22886312078587356</v>
      </c>
    </row>
    <row r="442" spans="1:9" x14ac:dyDescent="0.3">
      <c r="A442" t="s">
        <v>465</v>
      </c>
      <c r="B442" t="s">
        <v>55</v>
      </c>
      <c r="C442" s="1">
        <v>44729</v>
      </c>
      <c r="D442" t="s">
        <v>59</v>
      </c>
      <c r="E442" t="s">
        <v>66</v>
      </c>
      <c r="F442">
        <v>72</v>
      </c>
      <c r="G442" t="s">
        <v>2</v>
      </c>
      <c r="H442" s="2">
        <v>4</v>
      </c>
      <c r="I442" s="16">
        <v>0.4885587902090005</v>
      </c>
    </row>
    <row r="443" spans="1:9" x14ac:dyDescent="0.3">
      <c r="A443" t="s">
        <v>466</v>
      </c>
      <c r="B443" t="s">
        <v>51</v>
      </c>
      <c r="C443" s="1">
        <v>44727</v>
      </c>
      <c r="D443" t="s">
        <v>60</v>
      </c>
      <c r="E443" t="s">
        <v>67</v>
      </c>
      <c r="F443">
        <v>65</v>
      </c>
      <c r="G443" t="s">
        <v>0</v>
      </c>
      <c r="H443" s="2">
        <v>7</v>
      </c>
      <c r="I443" s="16">
        <v>0.88301012782394861</v>
      </c>
    </row>
    <row r="444" spans="1:9" x14ac:dyDescent="0.3">
      <c r="A444" t="s">
        <v>467</v>
      </c>
      <c r="B444" t="s">
        <v>52</v>
      </c>
      <c r="C444" s="1">
        <v>44734</v>
      </c>
      <c r="D444" t="s">
        <v>61</v>
      </c>
      <c r="E444" t="s">
        <v>66</v>
      </c>
      <c r="F444">
        <v>250</v>
      </c>
      <c r="G444" t="s">
        <v>1</v>
      </c>
      <c r="H444" s="2">
        <v>2</v>
      </c>
      <c r="I444" s="16">
        <v>0.30705024398286174</v>
      </c>
    </row>
    <row r="445" spans="1:9" x14ac:dyDescent="0.3">
      <c r="A445" t="s">
        <v>468</v>
      </c>
      <c r="B445" t="s">
        <v>53</v>
      </c>
      <c r="C445" s="1">
        <v>44744</v>
      </c>
      <c r="D445" t="s">
        <v>62</v>
      </c>
      <c r="E445" t="s">
        <v>67</v>
      </c>
      <c r="F445">
        <v>130</v>
      </c>
      <c r="G445" t="s">
        <v>2</v>
      </c>
      <c r="H445" s="2">
        <v>6</v>
      </c>
      <c r="I445" s="16">
        <v>0.85704939563753491</v>
      </c>
    </row>
    <row r="446" spans="1:9" x14ac:dyDescent="0.3">
      <c r="A446" t="s">
        <v>469</v>
      </c>
      <c r="B446" t="s">
        <v>54</v>
      </c>
      <c r="C446" s="1">
        <v>44737</v>
      </c>
      <c r="D446" t="s">
        <v>59</v>
      </c>
      <c r="E446" t="s">
        <v>66</v>
      </c>
      <c r="F446">
        <v>72</v>
      </c>
      <c r="G446" t="s">
        <v>0</v>
      </c>
      <c r="H446" s="2">
        <v>9</v>
      </c>
      <c r="I446" s="16">
        <v>0.29159802445516347</v>
      </c>
    </row>
    <row r="447" spans="1:9" x14ac:dyDescent="0.3">
      <c r="A447" t="s">
        <v>470</v>
      </c>
      <c r="B447" t="s">
        <v>51</v>
      </c>
      <c r="C447" s="1">
        <v>44752</v>
      </c>
      <c r="D447" t="s">
        <v>60</v>
      </c>
      <c r="E447" t="s">
        <v>67</v>
      </c>
      <c r="F447">
        <v>65</v>
      </c>
      <c r="G447" t="s">
        <v>1</v>
      </c>
      <c r="H447" s="2">
        <v>9</v>
      </c>
      <c r="I447" s="16">
        <v>0.2589445683285162</v>
      </c>
    </row>
    <row r="448" spans="1:9" x14ac:dyDescent="0.3">
      <c r="A448" t="s">
        <v>471</v>
      </c>
      <c r="B448" t="s">
        <v>52</v>
      </c>
      <c r="C448" s="1">
        <v>44736</v>
      </c>
      <c r="D448" t="s">
        <v>61</v>
      </c>
      <c r="E448" t="s">
        <v>66</v>
      </c>
      <c r="F448">
        <v>250</v>
      </c>
      <c r="G448" t="s">
        <v>2</v>
      </c>
      <c r="H448" s="2">
        <v>2</v>
      </c>
      <c r="I448" s="16">
        <v>0.2954209948681138</v>
      </c>
    </row>
    <row r="449" spans="1:9" x14ac:dyDescent="0.3">
      <c r="A449" t="s">
        <v>472</v>
      </c>
      <c r="B449" t="s">
        <v>53</v>
      </c>
      <c r="C449" s="1">
        <v>44752</v>
      </c>
      <c r="D449" t="s">
        <v>62</v>
      </c>
      <c r="E449" t="s">
        <v>67</v>
      </c>
      <c r="F449">
        <v>130</v>
      </c>
      <c r="G449" t="s">
        <v>0</v>
      </c>
      <c r="H449" s="2">
        <v>2</v>
      </c>
      <c r="I449" s="16">
        <v>7.4202009604403041E-2</v>
      </c>
    </row>
    <row r="450" spans="1:9" x14ac:dyDescent="0.3">
      <c r="A450" t="s">
        <v>473</v>
      </c>
      <c r="B450" t="s">
        <v>54</v>
      </c>
      <c r="C450" s="1">
        <v>44759</v>
      </c>
      <c r="D450" t="s">
        <v>63</v>
      </c>
      <c r="E450" t="s">
        <v>66</v>
      </c>
      <c r="F450">
        <v>60</v>
      </c>
      <c r="G450" t="s">
        <v>1</v>
      </c>
      <c r="H450" s="2">
        <v>11</v>
      </c>
      <c r="I450" s="16">
        <v>3.9067003401354383E-2</v>
      </c>
    </row>
    <row r="451" spans="1:9" x14ac:dyDescent="0.3">
      <c r="A451" t="s">
        <v>474</v>
      </c>
      <c r="B451" t="s">
        <v>55</v>
      </c>
      <c r="C451" s="1">
        <v>44763</v>
      </c>
      <c r="D451" t="s">
        <v>64</v>
      </c>
      <c r="E451" t="s">
        <v>67</v>
      </c>
      <c r="F451">
        <v>95</v>
      </c>
      <c r="G451" t="s">
        <v>2</v>
      </c>
      <c r="H451" s="2">
        <v>4</v>
      </c>
      <c r="I451" s="16">
        <v>0.76468504660372305</v>
      </c>
    </row>
    <row r="452" spans="1:9" x14ac:dyDescent="0.3">
      <c r="A452" t="s">
        <v>475</v>
      </c>
      <c r="B452" t="s">
        <v>56</v>
      </c>
      <c r="C452" s="1">
        <v>44763</v>
      </c>
      <c r="D452" t="s">
        <v>59</v>
      </c>
      <c r="E452" t="s">
        <v>66</v>
      </c>
      <c r="F452">
        <v>72</v>
      </c>
      <c r="G452" t="s">
        <v>0</v>
      </c>
      <c r="H452" s="2">
        <v>11</v>
      </c>
      <c r="I452" s="16">
        <v>0.74867480539232067</v>
      </c>
    </row>
    <row r="453" spans="1:9" x14ac:dyDescent="0.3">
      <c r="A453" t="s">
        <v>476</v>
      </c>
      <c r="B453" t="s">
        <v>51</v>
      </c>
      <c r="C453" s="1">
        <v>44750</v>
      </c>
      <c r="D453" t="s">
        <v>60</v>
      </c>
      <c r="E453" t="s">
        <v>67</v>
      </c>
      <c r="F453">
        <v>65</v>
      </c>
      <c r="G453" t="s">
        <v>1</v>
      </c>
      <c r="H453" s="2">
        <v>6</v>
      </c>
      <c r="I453" s="16">
        <v>0.69300939202757139</v>
      </c>
    </row>
    <row r="454" spans="1:9" x14ac:dyDescent="0.3">
      <c r="A454" t="s">
        <v>477</v>
      </c>
      <c r="B454" t="s">
        <v>52</v>
      </c>
      <c r="C454" s="1">
        <v>44751</v>
      </c>
      <c r="D454" t="s">
        <v>61</v>
      </c>
      <c r="E454" t="s">
        <v>66</v>
      </c>
      <c r="F454">
        <v>250</v>
      </c>
      <c r="G454" t="s">
        <v>2</v>
      </c>
      <c r="H454" s="2">
        <v>1</v>
      </c>
      <c r="I454" s="16">
        <v>0.52937391222103747</v>
      </c>
    </row>
    <row r="455" spans="1:9" x14ac:dyDescent="0.3">
      <c r="A455" t="s">
        <v>478</v>
      </c>
      <c r="B455" t="s">
        <v>53</v>
      </c>
      <c r="C455" s="1">
        <v>44736</v>
      </c>
      <c r="D455" t="s">
        <v>62</v>
      </c>
      <c r="E455" t="s">
        <v>67</v>
      </c>
      <c r="F455">
        <v>130</v>
      </c>
      <c r="G455" t="s">
        <v>0</v>
      </c>
      <c r="H455" s="2">
        <v>3</v>
      </c>
      <c r="I455" s="16">
        <v>0.32413514859934134</v>
      </c>
    </row>
    <row r="456" spans="1:9" x14ac:dyDescent="0.3">
      <c r="A456" t="s">
        <v>479</v>
      </c>
      <c r="B456" t="s">
        <v>54</v>
      </c>
      <c r="C456" s="1">
        <v>44737</v>
      </c>
      <c r="D456" t="s">
        <v>59</v>
      </c>
      <c r="E456" t="s">
        <v>67</v>
      </c>
      <c r="F456">
        <v>72</v>
      </c>
      <c r="G456" t="s">
        <v>1</v>
      </c>
      <c r="H456" s="2">
        <v>4</v>
      </c>
      <c r="I456" s="16">
        <v>0.35907775149399723</v>
      </c>
    </row>
    <row r="457" spans="1:9" x14ac:dyDescent="0.3">
      <c r="A457" t="s">
        <v>480</v>
      </c>
      <c r="B457" t="s">
        <v>51</v>
      </c>
      <c r="C457" s="1">
        <v>44744</v>
      </c>
      <c r="D457" t="s">
        <v>60</v>
      </c>
      <c r="E457" t="s">
        <v>67</v>
      </c>
      <c r="F457">
        <v>65</v>
      </c>
      <c r="G457" t="s">
        <v>2</v>
      </c>
      <c r="H457" s="2">
        <v>6</v>
      </c>
      <c r="I457" s="16">
        <v>0.65908590258865696</v>
      </c>
    </row>
    <row r="458" spans="1:9" x14ac:dyDescent="0.3">
      <c r="A458" t="s">
        <v>481</v>
      </c>
      <c r="B458" t="s">
        <v>52</v>
      </c>
      <c r="C458" s="1">
        <v>44735</v>
      </c>
      <c r="D458" t="s">
        <v>61</v>
      </c>
      <c r="E458" t="s">
        <v>67</v>
      </c>
      <c r="F458">
        <v>250</v>
      </c>
      <c r="G458" t="s">
        <v>0</v>
      </c>
      <c r="H458" s="2">
        <v>2</v>
      </c>
      <c r="I458" s="16">
        <v>0.51385178684784039</v>
      </c>
    </row>
    <row r="459" spans="1:9" x14ac:dyDescent="0.3">
      <c r="A459" t="s">
        <v>482</v>
      </c>
      <c r="B459" t="s">
        <v>53</v>
      </c>
      <c r="C459" s="1">
        <v>44751</v>
      </c>
      <c r="D459" t="s">
        <v>62</v>
      </c>
      <c r="E459" t="s">
        <v>67</v>
      </c>
      <c r="F459">
        <v>130</v>
      </c>
      <c r="G459" t="s">
        <v>1</v>
      </c>
      <c r="H459" s="2">
        <v>4</v>
      </c>
      <c r="I459" s="16">
        <v>0.76665009072072687</v>
      </c>
    </row>
    <row r="460" spans="1:9" x14ac:dyDescent="0.3">
      <c r="A460" t="s">
        <v>483</v>
      </c>
      <c r="B460" t="s">
        <v>54</v>
      </c>
      <c r="C460" s="1">
        <v>44726</v>
      </c>
      <c r="D460" t="s">
        <v>59</v>
      </c>
      <c r="E460" t="s">
        <v>66</v>
      </c>
      <c r="F460">
        <v>72</v>
      </c>
      <c r="G460" t="s">
        <v>2</v>
      </c>
      <c r="H460" s="2">
        <v>5</v>
      </c>
      <c r="I460" s="16">
        <v>0.73529214203054083</v>
      </c>
    </row>
    <row r="461" spans="1:9" x14ac:dyDescent="0.3">
      <c r="A461" t="s">
        <v>484</v>
      </c>
      <c r="B461" t="s">
        <v>51</v>
      </c>
      <c r="C461" s="1">
        <v>44749</v>
      </c>
      <c r="D461" t="s">
        <v>60</v>
      </c>
      <c r="E461" t="s">
        <v>67</v>
      </c>
      <c r="F461">
        <v>65</v>
      </c>
      <c r="G461" t="s">
        <v>0</v>
      </c>
      <c r="H461" s="2">
        <v>9</v>
      </c>
      <c r="I461" s="16">
        <v>0.44567996518569519</v>
      </c>
    </row>
    <row r="462" spans="1:9" x14ac:dyDescent="0.3">
      <c r="A462" t="s">
        <v>485</v>
      </c>
      <c r="B462" t="s">
        <v>52</v>
      </c>
      <c r="C462" s="1">
        <v>44734</v>
      </c>
      <c r="D462" t="s">
        <v>61</v>
      </c>
      <c r="E462" t="s">
        <v>66</v>
      </c>
      <c r="F462">
        <v>250</v>
      </c>
      <c r="G462" t="s">
        <v>0</v>
      </c>
      <c r="H462" s="2">
        <v>2</v>
      </c>
      <c r="I462" s="16">
        <v>0.80491760131950119</v>
      </c>
    </row>
    <row r="463" spans="1:9" x14ac:dyDescent="0.3">
      <c r="A463" t="s">
        <v>486</v>
      </c>
      <c r="B463" t="s">
        <v>53</v>
      </c>
      <c r="C463" s="1">
        <v>44726</v>
      </c>
      <c r="D463" t="s">
        <v>62</v>
      </c>
      <c r="E463" t="s">
        <v>67</v>
      </c>
      <c r="F463">
        <v>130</v>
      </c>
      <c r="G463" t="s">
        <v>1</v>
      </c>
      <c r="H463" s="2">
        <v>4</v>
      </c>
      <c r="I463" s="16">
        <v>0.63252724233750568</v>
      </c>
    </row>
    <row r="464" spans="1:9" x14ac:dyDescent="0.3">
      <c r="A464" t="s">
        <v>487</v>
      </c>
      <c r="B464" t="s">
        <v>54</v>
      </c>
      <c r="C464" s="1">
        <v>44743</v>
      </c>
      <c r="D464" t="s">
        <v>59</v>
      </c>
      <c r="E464" t="s">
        <v>66</v>
      </c>
      <c r="F464">
        <v>72</v>
      </c>
      <c r="G464" t="s">
        <v>2</v>
      </c>
      <c r="H464" s="2">
        <v>12</v>
      </c>
      <c r="I464" s="16">
        <v>0.54172415841062738</v>
      </c>
    </row>
    <row r="465" spans="1:9" x14ac:dyDescent="0.3">
      <c r="A465" t="s">
        <v>488</v>
      </c>
      <c r="B465" t="s">
        <v>51</v>
      </c>
      <c r="C465" s="1">
        <v>44742</v>
      </c>
      <c r="D465" t="s">
        <v>60</v>
      </c>
      <c r="E465" t="s">
        <v>67</v>
      </c>
      <c r="F465">
        <v>65</v>
      </c>
      <c r="G465" t="s">
        <v>0</v>
      </c>
      <c r="H465" s="2">
        <v>11</v>
      </c>
      <c r="I465" s="16">
        <v>0.51449622999670686</v>
      </c>
    </row>
    <row r="466" spans="1:9" x14ac:dyDescent="0.3">
      <c r="A466" t="s">
        <v>489</v>
      </c>
      <c r="B466" t="s">
        <v>52</v>
      </c>
      <c r="C466" s="1">
        <v>44747</v>
      </c>
      <c r="D466" t="s">
        <v>61</v>
      </c>
      <c r="E466" t="s">
        <v>66</v>
      </c>
      <c r="F466">
        <v>250</v>
      </c>
      <c r="G466" t="s">
        <v>1</v>
      </c>
      <c r="H466" s="2">
        <v>2</v>
      </c>
      <c r="I466" s="16">
        <v>0.23752502847518697</v>
      </c>
    </row>
    <row r="467" spans="1:9" x14ac:dyDescent="0.3">
      <c r="A467" t="s">
        <v>490</v>
      </c>
      <c r="B467" t="s">
        <v>53</v>
      </c>
      <c r="C467" s="1">
        <v>44764</v>
      </c>
      <c r="D467" t="s">
        <v>62</v>
      </c>
      <c r="E467" t="s">
        <v>67</v>
      </c>
      <c r="F467">
        <v>130</v>
      </c>
      <c r="G467" t="s">
        <v>2</v>
      </c>
      <c r="H467" s="2">
        <v>4</v>
      </c>
      <c r="I467" s="16">
        <v>0.99120610081358274</v>
      </c>
    </row>
    <row r="468" spans="1:9" x14ac:dyDescent="0.3">
      <c r="A468" t="s">
        <v>491</v>
      </c>
      <c r="B468" t="s">
        <v>54</v>
      </c>
      <c r="C468" s="1">
        <v>44735</v>
      </c>
      <c r="D468" t="s">
        <v>63</v>
      </c>
      <c r="E468" t="s">
        <v>66</v>
      </c>
      <c r="F468">
        <v>60</v>
      </c>
      <c r="G468" t="s">
        <v>0</v>
      </c>
      <c r="H468" s="2">
        <v>9</v>
      </c>
      <c r="I468" s="16">
        <v>0.59705890981846566</v>
      </c>
    </row>
    <row r="469" spans="1:9" x14ac:dyDescent="0.3">
      <c r="A469" t="s">
        <v>492</v>
      </c>
      <c r="B469" t="s">
        <v>55</v>
      </c>
      <c r="C469" s="1">
        <v>44737</v>
      </c>
      <c r="D469" t="s">
        <v>59</v>
      </c>
      <c r="E469" t="s">
        <v>67</v>
      </c>
      <c r="F469">
        <v>72</v>
      </c>
      <c r="G469" t="s">
        <v>1</v>
      </c>
      <c r="H469" s="2">
        <v>3</v>
      </c>
      <c r="I469" s="16">
        <v>0.47137791834027587</v>
      </c>
    </row>
    <row r="470" spans="1:9" x14ac:dyDescent="0.3">
      <c r="A470" t="s">
        <v>493</v>
      </c>
      <c r="B470" t="s">
        <v>51</v>
      </c>
      <c r="C470" s="1">
        <v>44749</v>
      </c>
      <c r="D470" t="s">
        <v>60</v>
      </c>
      <c r="E470" t="s">
        <v>66</v>
      </c>
      <c r="F470">
        <v>65</v>
      </c>
      <c r="G470" t="s">
        <v>2</v>
      </c>
      <c r="H470" s="2">
        <v>14</v>
      </c>
      <c r="I470" s="16">
        <v>0.41181740780767351</v>
      </c>
    </row>
    <row r="471" spans="1:9" x14ac:dyDescent="0.3">
      <c r="A471" t="s">
        <v>494</v>
      </c>
      <c r="B471" t="s">
        <v>52</v>
      </c>
      <c r="C471" s="1">
        <v>44729</v>
      </c>
      <c r="D471" t="s">
        <v>61</v>
      </c>
      <c r="E471" t="s">
        <v>67</v>
      </c>
      <c r="F471">
        <v>250</v>
      </c>
      <c r="G471" t="s">
        <v>0</v>
      </c>
      <c r="H471" s="2">
        <v>3</v>
      </c>
      <c r="I471" s="16">
        <v>7.2014892327985192E-2</v>
      </c>
    </row>
    <row r="472" spans="1:9" x14ac:dyDescent="0.3">
      <c r="A472" t="s">
        <v>495</v>
      </c>
      <c r="B472" t="s">
        <v>53</v>
      </c>
      <c r="C472" s="1">
        <v>44738</v>
      </c>
      <c r="D472" t="s">
        <v>62</v>
      </c>
      <c r="E472" t="s">
        <v>66</v>
      </c>
      <c r="F472">
        <v>130</v>
      </c>
      <c r="G472" t="s">
        <v>1</v>
      </c>
      <c r="H472" s="2">
        <v>7</v>
      </c>
      <c r="I472" s="16">
        <v>0.28425228592980878</v>
      </c>
    </row>
    <row r="473" spans="1:9" x14ac:dyDescent="0.3">
      <c r="A473" t="s">
        <v>496</v>
      </c>
      <c r="B473" t="s">
        <v>54</v>
      </c>
      <c r="C473" s="1">
        <v>44740</v>
      </c>
      <c r="D473" t="s">
        <v>59</v>
      </c>
      <c r="E473" t="s">
        <v>67</v>
      </c>
      <c r="F473">
        <v>72</v>
      </c>
      <c r="G473" t="s">
        <v>2</v>
      </c>
      <c r="H473" s="2">
        <v>3</v>
      </c>
      <c r="I473" s="16">
        <v>0.51473636278960266</v>
      </c>
    </row>
    <row r="474" spans="1:9" x14ac:dyDescent="0.3">
      <c r="A474" t="s">
        <v>497</v>
      </c>
      <c r="B474" t="s">
        <v>51</v>
      </c>
      <c r="C474" s="1">
        <v>44755</v>
      </c>
      <c r="D474" t="s">
        <v>60</v>
      </c>
      <c r="E474" t="s">
        <v>66</v>
      </c>
      <c r="F474">
        <v>65</v>
      </c>
      <c r="G474" t="s">
        <v>0</v>
      </c>
      <c r="H474" s="2">
        <v>7</v>
      </c>
      <c r="I474" s="16">
        <v>0.84360853679959769</v>
      </c>
    </row>
    <row r="475" spans="1:9" x14ac:dyDescent="0.3">
      <c r="A475" t="s">
        <v>498</v>
      </c>
      <c r="B475" t="s">
        <v>52</v>
      </c>
      <c r="C475" s="1">
        <v>44755</v>
      </c>
      <c r="D475" t="s">
        <v>61</v>
      </c>
      <c r="E475" t="s">
        <v>67</v>
      </c>
      <c r="F475">
        <v>250</v>
      </c>
      <c r="G475" t="s">
        <v>1</v>
      </c>
      <c r="H475" s="2">
        <v>3</v>
      </c>
      <c r="I475" s="16">
        <v>0.79410595242208182</v>
      </c>
    </row>
    <row r="476" spans="1:9" x14ac:dyDescent="0.3">
      <c r="A476" t="s">
        <v>499</v>
      </c>
      <c r="B476" t="s">
        <v>53</v>
      </c>
      <c r="C476" s="1">
        <v>44764</v>
      </c>
      <c r="D476" t="s">
        <v>62</v>
      </c>
      <c r="E476" t="s">
        <v>66</v>
      </c>
      <c r="F476">
        <v>130</v>
      </c>
      <c r="G476" t="s">
        <v>2</v>
      </c>
      <c r="H476" s="2">
        <v>4</v>
      </c>
      <c r="I476" s="16">
        <v>0.43743103077150813</v>
      </c>
    </row>
    <row r="477" spans="1:9" x14ac:dyDescent="0.3">
      <c r="A477" t="s">
        <v>500</v>
      </c>
      <c r="B477" t="s">
        <v>54</v>
      </c>
      <c r="C477" s="1">
        <v>44735</v>
      </c>
      <c r="D477" t="s">
        <v>63</v>
      </c>
      <c r="E477" t="s">
        <v>67</v>
      </c>
      <c r="F477">
        <v>60</v>
      </c>
      <c r="G477" t="s">
        <v>0</v>
      </c>
      <c r="H477" s="2">
        <v>7</v>
      </c>
      <c r="I477" s="16">
        <v>0.62414285851347806</v>
      </c>
    </row>
    <row r="478" spans="1:9" x14ac:dyDescent="0.3">
      <c r="A478" t="s">
        <v>501</v>
      </c>
      <c r="B478" t="s">
        <v>55</v>
      </c>
      <c r="C478" s="1">
        <v>44734</v>
      </c>
      <c r="D478" t="s">
        <v>64</v>
      </c>
      <c r="E478" t="s">
        <v>67</v>
      </c>
      <c r="F478">
        <v>95</v>
      </c>
      <c r="G478" t="s">
        <v>1</v>
      </c>
      <c r="H478" s="2">
        <v>4</v>
      </c>
      <c r="I478" s="16">
        <v>0.8866455913476804</v>
      </c>
    </row>
    <row r="479" spans="1:9" x14ac:dyDescent="0.3">
      <c r="A479" t="s">
        <v>502</v>
      </c>
      <c r="B479" t="s">
        <v>56</v>
      </c>
      <c r="C479" s="1">
        <v>44728</v>
      </c>
      <c r="D479" t="s">
        <v>59</v>
      </c>
      <c r="E479" t="s">
        <v>67</v>
      </c>
      <c r="F479">
        <v>72</v>
      </c>
      <c r="G479" t="s">
        <v>2</v>
      </c>
      <c r="H479" s="2">
        <v>6</v>
      </c>
      <c r="I479" s="16">
        <v>0.18359273290431566</v>
      </c>
    </row>
    <row r="480" spans="1:9" x14ac:dyDescent="0.3">
      <c r="A480" t="s">
        <v>503</v>
      </c>
      <c r="B480" t="s">
        <v>51</v>
      </c>
      <c r="C480" s="1">
        <v>44739</v>
      </c>
      <c r="D480" t="s">
        <v>60</v>
      </c>
      <c r="E480" t="s">
        <v>67</v>
      </c>
      <c r="F480">
        <v>65</v>
      </c>
      <c r="G480" t="s">
        <v>0</v>
      </c>
      <c r="H480" s="2">
        <v>5</v>
      </c>
      <c r="I480" s="16">
        <v>0.15906506531321729</v>
      </c>
    </row>
    <row r="481" spans="1:9" x14ac:dyDescent="0.3">
      <c r="A481" t="s">
        <v>504</v>
      </c>
      <c r="B481" t="s">
        <v>52</v>
      </c>
      <c r="C481" s="1">
        <v>44765</v>
      </c>
      <c r="D481" t="s">
        <v>61</v>
      </c>
      <c r="E481" t="s">
        <v>67</v>
      </c>
      <c r="F481">
        <v>250</v>
      </c>
      <c r="G481" t="s">
        <v>1</v>
      </c>
      <c r="H481" s="2">
        <v>2</v>
      </c>
      <c r="I481" s="16">
        <v>0.29466747014106187</v>
      </c>
    </row>
    <row r="482" spans="1:9" x14ac:dyDescent="0.3">
      <c r="A482" t="s">
        <v>505</v>
      </c>
      <c r="B482" t="s">
        <v>53</v>
      </c>
      <c r="C482" s="1">
        <v>44740</v>
      </c>
      <c r="D482" t="s">
        <v>62</v>
      </c>
      <c r="E482" t="s">
        <v>66</v>
      </c>
      <c r="F482">
        <v>130</v>
      </c>
      <c r="G482" t="s">
        <v>2</v>
      </c>
      <c r="H482" s="2">
        <v>2</v>
      </c>
      <c r="I482" s="16">
        <v>0.35414118605930123</v>
      </c>
    </row>
    <row r="483" spans="1:9" x14ac:dyDescent="0.3">
      <c r="A483" t="s">
        <v>506</v>
      </c>
      <c r="B483" t="s">
        <v>54</v>
      </c>
      <c r="C483" s="1">
        <v>44734</v>
      </c>
      <c r="D483" t="s">
        <v>59</v>
      </c>
      <c r="E483" t="s">
        <v>67</v>
      </c>
      <c r="F483">
        <v>72</v>
      </c>
      <c r="G483" t="s">
        <v>0</v>
      </c>
      <c r="H483" s="2">
        <v>4</v>
      </c>
      <c r="I483" s="16">
        <v>0.40463831594750665</v>
      </c>
    </row>
    <row r="484" spans="1:9" x14ac:dyDescent="0.3">
      <c r="A484" t="s">
        <v>507</v>
      </c>
      <c r="B484" t="s">
        <v>51</v>
      </c>
      <c r="C484" s="1">
        <v>44727</v>
      </c>
      <c r="D484" t="s">
        <v>60</v>
      </c>
      <c r="E484" t="s">
        <v>66</v>
      </c>
      <c r="F484">
        <v>65</v>
      </c>
      <c r="G484" t="s">
        <v>1</v>
      </c>
      <c r="H484" s="2">
        <v>10</v>
      </c>
      <c r="I484" s="16">
        <v>0.56828189926736972</v>
      </c>
    </row>
    <row r="485" spans="1:9" x14ac:dyDescent="0.3">
      <c r="A485" t="s">
        <v>508</v>
      </c>
      <c r="B485" t="s">
        <v>52</v>
      </c>
      <c r="C485" s="1">
        <v>44737</v>
      </c>
      <c r="D485" t="s">
        <v>61</v>
      </c>
      <c r="E485" t="s">
        <v>67</v>
      </c>
      <c r="F485">
        <v>250</v>
      </c>
      <c r="G485" t="s">
        <v>2</v>
      </c>
      <c r="H485" s="2">
        <v>1</v>
      </c>
      <c r="I485" s="16">
        <v>0.68415839920111321</v>
      </c>
    </row>
    <row r="486" spans="1:9" x14ac:dyDescent="0.3">
      <c r="A486" t="s">
        <v>509</v>
      </c>
      <c r="B486" t="s">
        <v>53</v>
      </c>
      <c r="C486" s="1">
        <v>44747</v>
      </c>
      <c r="D486" t="s">
        <v>62</v>
      </c>
      <c r="E486" t="s">
        <v>66</v>
      </c>
      <c r="F486">
        <v>130</v>
      </c>
      <c r="G486" t="s">
        <v>0</v>
      </c>
      <c r="H486" s="2">
        <v>6</v>
      </c>
      <c r="I486" s="16">
        <v>0.47900916747418532</v>
      </c>
    </row>
    <row r="487" spans="1:9" x14ac:dyDescent="0.3">
      <c r="A487" t="s">
        <v>510</v>
      </c>
      <c r="B487" t="s">
        <v>54</v>
      </c>
      <c r="C487" s="1">
        <v>44754</v>
      </c>
      <c r="D487" t="s">
        <v>63</v>
      </c>
      <c r="E487" t="s">
        <v>67</v>
      </c>
      <c r="F487">
        <v>60</v>
      </c>
      <c r="G487" t="s">
        <v>1</v>
      </c>
      <c r="H487" s="2">
        <v>4</v>
      </c>
      <c r="I487" s="16">
        <v>0.89045722746488731</v>
      </c>
    </row>
    <row r="488" spans="1:9" x14ac:dyDescent="0.3">
      <c r="A488" t="s">
        <v>511</v>
      </c>
      <c r="B488" t="s">
        <v>55</v>
      </c>
      <c r="C488" s="1">
        <v>44760</v>
      </c>
      <c r="D488" t="s">
        <v>59</v>
      </c>
      <c r="E488" t="s">
        <v>66</v>
      </c>
      <c r="F488">
        <v>72</v>
      </c>
      <c r="G488" t="s">
        <v>2</v>
      </c>
      <c r="H488" s="2">
        <v>7</v>
      </c>
      <c r="I488" s="16">
        <v>0.50949971880500122</v>
      </c>
    </row>
    <row r="489" spans="1:9" x14ac:dyDescent="0.3">
      <c r="A489" t="s">
        <v>512</v>
      </c>
      <c r="B489" t="s">
        <v>51</v>
      </c>
      <c r="C489" s="1">
        <v>44759</v>
      </c>
      <c r="D489" t="s">
        <v>60</v>
      </c>
      <c r="E489" t="s">
        <v>67</v>
      </c>
      <c r="F489">
        <v>65</v>
      </c>
      <c r="G489" t="s">
        <v>0</v>
      </c>
      <c r="H489" s="2">
        <v>12</v>
      </c>
      <c r="I489" s="16">
        <v>0.78361211804502018</v>
      </c>
    </row>
    <row r="490" spans="1:9" x14ac:dyDescent="0.3">
      <c r="A490" t="s">
        <v>513</v>
      </c>
      <c r="B490" t="s">
        <v>52</v>
      </c>
      <c r="C490" s="1">
        <v>44735</v>
      </c>
      <c r="D490" t="s">
        <v>61</v>
      </c>
      <c r="E490" t="s">
        <v>66</v>
      </c>
      <c r="F490">
        <v>250</v>
      </c>
      <c r="G490" t="s">
        <v>1</v>
      </c>
      <c r="H490" s="2">
        <v>1</v>
      </c>
      <c r="I490" s="16">
        <v>6.596920154790531E-2</v>
      </c>
    </row>
    <row r="491" spans="1:9" x14ac:dyDescent="0.3">
      <c r="A491" t="s">
        <v>514</v>
      </c>
      <c r="B491" t="s">
        <v>53</v>
      </c>
      <c r="C491" s="1">
        <v>44734</v>
      </c>
      <c r="D491" t="s">
        <v>62</v>
      </c>
      <c r="E491" t="s">
        <v>67</v>
      </c>
      <c r="F491">
        <v>130</v>
      </c>
      <c r="G491" t="s">
        <v>2</v>
      </c>
      <c r="H491" s="2">
        <v>6</v>
      </c>
      <c r="I491" s="16">
        <v>0.17858014910494857</v>
      </c>
    </row>
    <row r="492" spans="1:9" x14ac:dyDescent="0.3">
      <c r="A492" t="s">
        <v>515</v>
      </c>
      <c r="B492" t="s">
        <v>54</v>
      </c>
      <c r="C492" s="1">
        <v>44753</v>
      </c>
      <c r="D492" t="s">
        <v>59</v>
      </c>
      <c r="E492" t="s">
        <v>66</v>
      </c>
      <c r="F492">
        <v>72</v>
      </c>
      <c r="G492" t="s">
        <v>0</v>
      </c>
      <c r="H492" s="2">
        <v>4</v>
      </c>
      <c r="I492" s="16">
        <v>0.43587855952805254</v>
      </c>
    </row>
    <row r="493" spans="1:9" x14ac:dyDescent="0.3">
      <c r="A493" t="s">
        <v>516</v>
      </c>
      <c r="B493" t="s">
        <v>51</v>
      </c>
      <c r="C493" s="1">
        <v>44739</v>
      </c>
      <c r="D493" t="s">
        <v>60</v>
      </c>
      <c r="E493" t="s">
        <v>67</v>
      </c>
      <c r="F493">
        <v>65</v>
      </c>
      <c r="G493" t="s">
        <v>1</v>
      </c>
      <c r="H493" s="2">
        <v>10</v>
      </c>
      <c r="I493" s="16">
        <v>0.74040338644493453</v>
      </c>
    </row>
    <row r="494" spans="1:9" x14ac:dyDescent="0.3">
      <c r="A494" t="s">
        <v>517</v>
      </c>
      <c r="B494" t="s">
        <v>52</v>
      </c>
      <c r="C494" s="1">
        <v>44740</v>
      </c>
      <c r="D494" t="s">
        <v>61</v>
      </c>
      <c r="E494" t="s">
        <v>66</v>
      </c>
      <c r="F494">
        <v>250</v>
      </c>
      <c r="G494" t="s">
        <v>2</v>
      </c>
      <c r="H494" s="2">
        <v>4</v>
      </c>
      <c r="I494" s="16">
        <v>0.54109571345744756</v>
      </c>
    </row>
    <row r="495" spans="1:9" x14ac:dyDescent="0.3">
      <c r="A495" t="s">
        <v>518</v>
      </c>
      <c r="B495" t="s">
        <v>53</v>
      </c>
      <c r="C495" s="1">
        <v>44748</v>
      </c>
      <c r="D495" t="s">
        <v>62</v>
      </c>
      <c r="E495" t="s">
        <v>67</v>
      </c>
      <c r="F495">
        <v>130</v>
      </c>
      <c r="G495" t="s">
        <v>0</v>
      </c>
      <c r="H495" s="2">
        <v>3</v>
      </c>
      <c r="I495" s="16">
        <v>0.71271172701355112</v>
      </c>
    </row>
    <row r="496" spans="1:9" x14ac:dyDescent="0.3">
      <c r="A496" t="s">
        <v>519</v>
      </c>
      <c r="B496" t="s">
        <v>54</v>
      </c>
      <c r="C496" s="1">
        <v>44731</v>
      </c>
      <c r="D496" t="s">
        <v>63</v>
      </c>
      <c r="E496" t="s">
        <v>66</v>
      </c>
      <c r="F496">
        <v>60</v>
      </c>
      <c r="G496" t="s">
        <v>1</v>
      </c>
      <c r="H496" s="2">
        <v>13</v>
      </c>
      <c r="I496" s="16">
        <v>0.66248409996473057</v>
      </c>
    </row>
    <row r="497" spans="1:9" x14ac:dyDescent="0.3">
      <c r="A497" t="s">
        <v>520</v>
      </c>
      <c r="B497" t="s">
        <v>55</v>
      </c>
      <c r="C497" s="1">
        <v>44763</v>
      </c>
      <c r="D497" t="s">
        <v>64</v>
      </c>
      <c r="E497" t="s">
        <v>67</v>
      </c>
      <c r="F497">
        <v>95</v>
      </c>
      <c r="G497" t="s">
        <v>2</v>
      </c>
      <c r="H497" s="2">
        <v>4</v>
      </c>
      <c r="I497" s="16">
        <v>0.51300641040982664</v>
      </c>
    </row>
    <row r="498" spans="1:9" x14ac:dyDescent="0.3">
      <c r="A498" t="s">
        <v>521</v>
      </c>
      <c r="B498" t="s">
        <v>56</v>
      </c>
      <c r="C498" s="1">
        <v>44733</v>
      </c>
      <c r="D498" t="s">
        <v>59</v>
      </c>
      <c r="E498" t="s">
        <v>66</v>
      </c>
      <c r="F498">
        <v>72</v>
      </c>
      <c r="G498" t="s">
        <v>0</v>
      </c>
      <c r="H498" s="2">
        <v>3</v>
      </c>
      <c r="I498" s="16">
        <v>0.84951124937796896</v>
      </c>
    </row>
    <row r="499" spans="1:9" x14ac:dyDescent="0.3">
      <c r="A499" t="s">
        <v>522</v>
      </c>
      <c r="B499" t="s">
        <v>51</v>
      </c>
      <c r="C499" s="1">
        <v>44746</v>
      </c>
      <c r="D499" t="s">
        <v>60</v>
      </c>
      <c r="E499" t="s">
        <v>67</v>
      </c>
      <c r="F499">
        <v>65</v>
      </c>
      <c r="G499" t="s">
        <v>1</v>
      </c>
      <c r="H499" s="2">
        <v>12</v>
      </c>
      <c r="I499" s="16">
        <v>0.57786595909251792</v>
      </c>
    </row>
    <row r="500" spans="1:9" x14ac:dyDescent="0.3">
      <c r="A500" t="s">
        <v>523</v>
      </c>
      <c r="B500" t="s">
        <v>52</v>
      </c>
      <c r="C500" s="1">
        <v>44755</v>
      </c>
      <c r="D500" t="s">
        <v>61</v>
      </c>
      <c r="E500" t="s">
        <v>67</v>
      </c>
      <c r="F500">
        <v>250</v>
      </c>
      <c r="G500" t="s">
        <v>2</v>
      </c>
      <c r="H500" s="2">
        <v>4</v>
      </c>
      <c r="I500" s="16">
        <v>1.9027976654024337E-2</v>
      </c>
    </row>
    <row r="501" spans="1:9" x14ac:dyDescent="0.3">
      <c r="A501" t="s">
        <v>524</v>
      </c>
      <c r="B501" t="s">
        <v>51</v>
      </c>
      <c r="C501" s="1">
        <v>44787</v>
      </c>
      <c r="D501" t="s">
        <v>59</v>
      </c>
      <c r="E501" t="s">
        <v>66</v>
      </c>
      <c r="F501">
        <v>72</v>
      </c>
      <c r="G501" t="s">
        <v>0</v>
      </c>
      <c r="H501" s="2">
        <v>9</v>
      </c>
      <c r="I501" s="16">
        <f ca="1">RAND()</f>
        <v>0.80630689423237012</v>
      </c>
    </row>
    <row r="502" spans="1:9" x14ac:dyDescent="0.3">
      <c r="A502" t="s">
        <v>525</v>
      </c>
      <c r="B502" t="s">
        <v>52</v>
      </c>
      <c r="C502" s="1">
        <v>44799</v>
      </c>
      <c r="D502" t="s">
        <v>60</v>
      </c>
      <c r="E502" t="s">
        <v>67</v>
      </c>
      <c r="F502">
        <v>65</v>
      </c>
      <c r="G502" t="s">
        <v>1</v>
      </c>
      <c r="H502" s="2">
        <v>11</v>
      </c>
      <c r="I502" s="16">
        <f ca="1">RAND()</f>
        <v>0.55575237059373284</v>
      </c>
    </row>
    <row r="503" spans="1:9" x14ac:dyDescent="0.3">
      <c r="A503" t="s">
        <v>526</v>
      </c>
      <c r="B503" t="s">
        <v>53</v>
      </c>
      <c r="C503" s="1">
        <v>44802</v>
      </c>
      <c r="D503" t="s">
        <v>61</v>
      </c>
      <c r="E503" t="s">
        <v>66</v>
      </c>
      <c r="F503">
        <v>250</v>
      </c>
      <c r="G503" t="s">
        <v>2</v>
      </c>
      <c r="H503" s="2">
        <v>2</v>
      </c>
      <c r="I503" s="16">
        <f ca="1">RAND()</f>
        <v>0.90729386813006385</v>
      </c>
    </row>
    <row r="504" spans="1:9" x14ac:dyDescent="0.3">
      <c r="A504" t="s">
        <v>527</v>
      </c>
      <c r="B504" t="s">
        <v>54</v>
      </c>
      <c r="C504" s="1">
        <v>44774</v>
      </c>
      <c r="D504" t="s">
        <v>62</v>
      </c>
      <c r="E504" t="s">
        <v>67</v>
      </c>
      <c r="F504">
        <v>130</v>
      </c>
      <c r="G504" t="s">
        <v>0</v>
      </c>
      <c r="H504" s="2">
        <v>5</v>
      </c>
      <c r="I504" s="16">
        <f ca="1">RAND()</f>
        <v>0.11480687603460704</v>
      </c>
    </row>
    <row r="505" spans="1:9" x14ac:dyDescent="0.3">
      <c r="A505" t="s">
        <v>528</v>
      </c>
      <c r="B505" t="s">
        <v>51</v>
      </c>
      <c r="C505" s="1">
        <v>44800</v>
      </c>
      <c r="D505" t="s">
        <v>59</v>
      </c>
      <c r="E505" t="s">
        <v>66</v>
      </c>
      <c r="F505">
        <v>72</v>
      </c>
      <c r="G505" t="s">
        <v>1</v>
      </c>
      <c r="H505" s="2">
        <v>8</v>
      </c>
      <c r="I505" s="16">
        <f ca="1">RAND()</f>
        <v>0.16749621406715576</v>
      </c>
    </row>
    <row r="506" spans="1:9" x14ac:dyDescent="0.3">
      <c r="A506" t="s">
        <v>529</v>
      </c>
      <c r="B506" t="s">
        <v>52</v>
      </c>
      <c r="C506" s="1">
        <v>44797</v>
      </c>
      <c r="D506" t="s">
        <v>60</v>
      </c>
      <c r="E506" t="s">
        <v>67</v>
      </c>
      <c r="F506">
        <v>65</v>
      </c>
      <c r="G506" t="s">
        <v>2</v>
      </c>
      <c r="H506" s="2">
        <v>5</v>
      </c>
      <c r="I506" s="16">
        <f ca="1">RAND()</f>
        <v>0.25012319897968238</v>
      </c>
    </row>
    <row r="507" spans="1:9" x14ac:dyDescent="0.3">
      <c r="A507" t="s">
        <v>530</v>
      </c>
      <c r="B507" t="s">
        <v>53</v>
      </c>
      <c r="C507" s="1">
        <v>44766</v>
      </c>
      <c r="D507" t="s">
        <v>61</v>
      </c>
      <c r="E507" t="s">
        <v>66</v>
      </c>
      <c r="F507">
        <v>250</v>
      </c>
      <c r="G507" t="s">
        <v>0</v>
      </c>
      <c r="H507" s="2">
        <v>2</v>
      </c>
      <c r="I507" s="16">
        <f ca="1">RAND()</f>
        <v>0.88241209438901669</v>
      </c>
    </row>
    <row r="508" spans="1:9" x14ac:dyDescent="0.3">
      <c r="A508" t="s">
        <v>531</v>
      </c>
      <c r="B508" t="s">
        <v>54</v>
      </c>
      <c r="C508" s="1">
        <v>44782</v>
      </c>
      <c r="D508" t="s">
        <v>62</v>
      </c>
      <c r="E508" t="s">
        <v>67</v>
      </c>
      <c r="F508">
        <v>130</v>
      </c>
      <c r="G508" t="s">
        <v>1</v>
      </c>
      <c r="H508" s="2">
        <v>4</v>
      </c>
      <c r="I508" s="16">
        <f ca="1">RAND()</f>
        <v>0.88834036991303578</v>
      </c>
    </row>
    <row r="509" spans="1:9" x14ac:dyDescent="0.3">
      <c r="A509" t="s">
        <v>532</v>
      </c>
      <c r="B509" t="s">
        <v>55</v>
      </c>
      <c r="C509" s="1">
        <v>44790</v>
      </c>
      <c r="D509" t="s">
        <v>63</v>
      </c>
      <c r="E509" t="s">
        <v>66</v>
      </c>
      <c r="F509">
        <v>60</v>
      </c>
      <c r="G509" t="s">
        <v>2</v>
      </c>
      <c r="H509" s="2">
        <v>12</v>
      </c>
      <c r="I509" s="16">
        <f ca="1">RAND()</f>
        <v>0.47009364224824757</v>
      </c>
    </row>
    <row r="510" spans="1:9" x14ac:dyDescent="0.3">
      <c r="A510" t="s">
        <v>533</v>
      </c>
      <c r="B510" t="s">
        <v>51</v>
      </c>
      <c r="C510" s="1">
        <v>44770</v>
      </c>
      <c r="D510" t="s">
        <v>59</v>
      </c>
      <c r="E510" t="s">
        <v>67</v>
      </c>
      <c r="F510">
        <v>72</v>
      </c>
      <c r="G510" t="s">
        <v>0</v>
      </c>
      <c r="H510" s="2">
        <v>12</v>
      </c>
      <c r="I510" s="16">
        <f ca="1">RAND()</f>
        <v>0.53937996972125535</v>
      </c>
    </row>
    <row r="511" spans="1:9" x14ac:dyDescent="0.3">
      <c r="A511" t="s">
        <v>534</v>
      </c>
      <c r="B511" t="s">
        <v>52</v>
      </c>
      <c r="C511" s="1">
        <v>44759</v>
      </c>
      <c r="D511" t="s">
        <v>60</v>
      </c>
      <c r="E511" t="s">
        <v>66</v>
      </c>
      <c r="F511">
        <v>65</v>
      </c>
      <c r="G511" t="s">
        <v>1</v>
      </c>
      <c r="H511" s="2">
        <v>9</v>
      </c>
      <c r="I511" s="16">
        <f ca="1">RAND()</f>
        <v>0.8548529609474117</v>
      </c>
    </row>
    <row r="512" spans="1:9" x14ac:dyDescent="0.3">
      <c r="A512" t="s">
        <v>535</v>
      </c>
      <c r="B512" t="s">
        <v>53</v>
      </c>
      <c r="C512" s="1">
        <v>44776</v>
      </c>
      <c r="D512" t="s">
        <v>61</v>
      </c>
      <c r="E512" t="s">
        <v>67</v>
      </c>
      <c r="F512">
        <v>250</v>
      </c>
      <c r="G512" t="s">
        <v>2</v>
      </c>
      <c r="H512" s="2">
        <v>3</v>
      </c>
      <c r="I512" s="16">
        <f ca="1">RAND()</f>
        <v>0.36586891833401769</v>
      </c>
    </row>
    <row r="513" spans="1:9" x14ac:dyDescent="0.3">
      <c r="A513" t="s">
        <v>536</v>
      </c>
      <c r="B513" t="s">
        <v>54</v>
      </c>
      <c r="C513" s="1">
        <v>44757</v>
      </c>
      <c r="D513" t="s">
        <v>62</v>
      </c>
      <c r="E513" t="s">
        <v>66</v>
      </c>
      <c r="F513">
        <v>130</v>
      </c>
      <c r="G513" t="s">
        <v>0</v>
      </c>
      <c r="H513" s="2">
        <v>6</v>
      </c>
      <c r="I513" s="16">
        <f ca="1">RAND()</f>
        <v>0.28997912233183576</v>
      </c>
    </row>
    <row r="514" spans="1:9" x14ac:dyDescent="0.3">
      <c r="A514" t="s">
        <v>537</v>
      </c>
      <c r="B514" t="s">
        <v>51</v>
      </c>
      <c r="C514" s="1">
        <v>44771</v>
      </c>
      <c r="D514" t="s">
        <v>59</v>
      </c>
      <c r="E514" t="s">
        <v>67</v>
      </c>
      <c r="F514">
        <v>72</v>
      </c>
      <c r="G514" t="s">
        <v>1</v>
      </c>
      <c r="H514" s="2">
        <v>8</v>
      </c>
      <c r="I514" s="16">
        <f ca="1">RAND()</f>
        <v>3.2308310163138509E-2</v>
      </c>
    </row>
    <row r="515" spans="1:9" x14ac:dyDescent="0.3">
      <c r="A515" t="s">
        <v>538</v>
      </c>
      <c r="B515" t="s">
        <v>52</v>
      </c>
      <c r="C515" s="1">
        <v>44788</v>
      </c>
      <c r="D515" t="s">
        <v>60</v>
      </c>
      <c r="E515" t="s">
        <v>66</v>
      </c>
      <c r="F515">
        <v>65</v>
      </c>
      <c r="G515" t="s">
        <v>2</v>
      </c>
      <c r="H515" s="2">
        <v>4</v>
      </c>
      <c r="I515" s="16">
        <f ca="1">RAND()</f>
        <v>0.66198831251859547</v>
      </c>
    </row>
    <row r="516" spans="1:9" x14ac:dyDescent="0.3">
      <c r="A516" t="s">
        <v>539</v>
      </c>
      <c r="B516" t="s">
        <v>53</v>
      </c>
      <c r="C516" s="1">
        <v>44762</v>
      </c>
      <c r="D516" t="s">
        <v>61</v>
      </c>
      <c r="E516" t="s">
        <v>67</v>
      </c>
      <c r="F516">
        <v>250</v>
      </c>
      <c r="G516" t="s">
        <v>0</v>
      </c>
      <c r="H516" s="2">
        <v>2</v>
      </c>
      <c r="I516" s="16">
        <f ca="1">RAND()</f>
        <v>0.57596902104312231</v>
      </c>
    </row>
    <row r="517" spans="1:9" x14ac:dyDescent="0.3">
      <c r="A517" t="s">
        <v>540</v>
      </c>
      <c r="B517" t="s">
        <v>54</v>
      </c>
      <c r="C517" s="1">
        <v>44789</v>
      </c>
      <c r="D517" t="s">
        <v>62</v>
      </c>
      <c r="E517" t="s">
        <v>66</v>
      </c>
      <c r="F517">
        <v>130</v>
      </c>
      <c r="G517" t="s">
        <v>1</v>
      </c>
      <c r="H517" s="2">
        <v>6</v>
      </c>
      <c r="I517" s="16">
        <f ca="1">RAND()</f>
        <v>0.26591084521228192</v>
      </c>
    </row>
    <row r="518" spans="1:9" x14ac:dyDescent="0.3">
      <c r="A518" t="s">
        <v>541</v>
      </c>
      <c r="B518" t="s">
        <v>55</v>
      </c>
      <c r="C518" s="1">
        <v>44761</v>
      </c>
      <c r="D518" t="s">
        <v>63</v>
      </c>
      <c r="E518" t="s">
        <v>66</v>
      </c>
      <c r="F518">
        <v>60</v>
      </c>
      <c r="G518" t="s">
        <v>2</v>
      </c>
      <c r="H518" s="2">
        <v>15</v>
      </c>
      <c r="I518" s="16">
        <f ca="1">RAND()</f>
        <v>0.45505337943233359</v>
      </c>
    </row>
    <row r="519" spans="1:9" x14ac:dyDescent="0.3">
      <c r="A519" t="s">
        <v>542</v>
      </c>
      <c r="B519" t="s">
        <v>56</v>
      </c>
      <c r="C519" s="1">
        <v>44790</v>
      </c>
      <c r="D519" t="s">
        <v>64</v>
      </c>
      <c r="E519" t="s">
        <v>67</v>
      </c>
      <c r="F519">
        <v>95</v>
      </c>
      <c r="G519" t="s">
        <v>0</v>
      </c>
      <c r="H519" s="2">
        <v>8</v>
      </c>
      <c r="I519" s="16">
        <f ca="1">RAND()</f>
        <v>0.83797082401790657</v>
      </c>
    </row>
    <row r="520" spans="1:9" x14ac:dyDescent="0.3">
      <c r="A520" t="s">
        <v>543</v>
      </c>
      <c r="B520" t="s">
        <v>51</v>
      </c>
      <c r="C520" s="1">
        <v>44782</v>
      </c>
      <c r="D520" t="s">
        <v>59</v>
      </c>
      <c r="E520" t="s">
        <v>67</v>
      </c>
      <c r="F520">
        <v>72</v>
      </c>
      <c r="G520" t="s">
        <v>1</v>
      </c>
      <c r="H520" s="2">
        <v>4</v>
      </c>
      <c r="I520" s="16">
        <f ca="1">RAND()</f>
        <v>0.80483470062753548</v>
      </c>
    </row>
    <row r="521" spans="1:9" x14ac:dyDescent="0.3">
      <c r="A521" t="s">
        <v>544</v>
      </c>
      <c r="B521" t="s">
        <v>52</v>
      </c>
      <c r="C521" s="1">
        <v>44802</v>
      </c>
      <c r="D521" t="s">
        <v>60</v>
      </c>
      <c r="E521" t="s">
        <v>67</v>
      </c>
      <c r="F521">
        <v>65</v>
      </c>
      <c r="G521" t="s">
        <v>2</v>
      </c>
      <c r="H521" s="2">
        <v>3</v>
      </c>
      <c r="I521" s="16">
        <f ca="1">RAND()</f>
        <v>0.44286821270119114</v>
      </c>
    </row>
    <row r="522" spans="1:9" x14ac:dyDescent="0.3">
      <c r="A522" t="s">
        <v>545</v>
      </c>
      <c r="B522" t="s">
        <v>53</v>
      </c>
      <c r="C522" s="1">
        <v>44791</v>
      </c>
      <c r="D522" t="s">
        <v>61</v>
      </c>
      <c r="E522" t="s">
        <v>66</v>
      </c>
      <c r="F522">
        <v>250</v>
      </c>
      <c r="G522" t="s">
        <v>0</v>
      </c>
      <c r="H522" s="2">
        <v>1</v>
      </c>
      <c r="I522" s="16">
        <f ca="1">RAND()</f>
        <v>0.19143724782342464</v>
      </c>
    </row>
    <row r="523" spans="1:9" x14ac:dyDescent="0.3">
      <c r="A523" t="s">
        <v>546</v>
      </c>
      <c r="B523" t="s">
        <v>54</v>
      </c>
      <c r="C523" s="1">
        <v>44795</v>
      </c>
      <c r="D523" t="s">
        <v>62</v>
      </c>
      <c r="E523" t="s">
        <v>66</v>
      </c>
      <c r="F523">
        <v>130</v>
      </c>
      <c r="G523" t="s">
        <v>1</v>
      </c>
      <c r="H523" s="2">
        <v>3</v>
      </c>
      <c r="I523" s="16">
        <f ca="1">RAND()</f>
        <v>0.46886528893595392</v>
      </c>
    </row>
    <row r="524" spans="1:9" x14ac:dyDescent="0.3">
      <c r="A524" t="s">
        <v>547</v>
      </c>
      <c r="B524" t="s">
        <v>51</v>
      </c>
      <c r="C524" s="1">
        <v>44759</v>
      </c>
      <c r="D524" t="s">
        <v>59</v>
      </c>
      <c r="E524" t="s">
        <v>66</v>
      </c>
      <c r="F524">
        <v>72</v>
      </c>
      <c r="G524" t="s">
        <v>2</v>
      </c>
      <c r="H524" s="2">
        <v>6</v>
      </c>
      <c r="I524" s="16">
        <f ca="1">RAND()</f>
        <v>7.7808511742966879E-2</v>
      </c>
    </row>
    <row r="525" spans="1:9" x14ac:dyDescent="0.3">
      <c r="A525" t="s">
        <v>548</v>
      </c>
      <c r="B525" t="s">
        <v>52</v>
      </c>
      <c r="C525" s="1">
        <v>44756</v>
      </c>
      <c r="D525" t="s">
        <v>60</v>
      </c>
      <c r="E525" t="s">
        <v>66</v>
      </c>
      <c r="F525">
        <v>65</v>
      </c>
      <c r="G525" t="s">
        <v>0</v>
      </c>
      <c r="H525" s="2">
        <v>12</v>
      </c>
      <c r="I525" s="16">
        <f ca="1">RAND()</f>
        <v>0.6097109247770427</v>
      </c>
    </row>
    <row r="526" spans="1:9" x14ac:dyDescent="0.3">
      <c r="A526" t="s">
        <v>549</v>
      </c>
      <c r="B526" t="s">
        <v>53</v>
      </c>
      <c r="C526" s="1">
        <v>44786</v>
      </c>
      <c r="D526" t="s">
        <v>61</v>
      </c>
      <c r="E526" t="s">
        <v>66</v>
      </c>
      <c r="F526">
        <v>250</v>
      </c>
      <c r="G526" t="s">
        <v>1</v>
      </c>
      <c r="H526" s="2">
        <v>3</v>
      </c>
      <c r="I526" s="16">
        <f ca="1">RAND()</f>
        <v>3.4938474826397115E-2</v>
      </c>
    </row>
    <row r="527" spans="1:9" x14ac:dyDescent="0.3">
      <c r="A527" t="s">
        <v>550</v>
      </c>
      <c r="B527" t="s">
        <v>54</v>
      </c>
      <c r="C527" s="1">
        <v>44757</v>
      </c>
      <c r="D527" t="s">
        <v>62</v>
      </c>
      <c r="E527" t="s">
        <v>66</v>
      </c>
      <c r="F527">
        <v>130</v>
      </c>
      <c r="G527" t="s">
        <v>2</v>
      </c>
      <c r="H527" s="2">
        <v>5</v>
      </c>
      <c r="I527" s="16">
        <f ca="1">RAND()</f>
        <v>0.28760556483649424</v>
      </c>
    </row>
    <row r="528" spans="1:9" x14ac:dyDescent="0.3">
      <c r="A528" t="s">
        <v>551</v>
      </c>
      <c r="B528" t="s">
        <v>55</v>
      </c>
      <c r="C528" s="1">
        <v>44787</v>
      </c>
      <c r="D528" t="s">
        <v>63</v>
      </c>
      <c r="E528" t="s">
        <v>66</v>
      </c>
      <c r="F528">
        <v>60</v>
      </c>
      <c r="G528" t="s">
        <v>0</v>
      </c>
      <c r="H528" s="2">
        <v>7</v>
      </c>
      <c r="I528" s="16">
        <f ca="1">RAND()</f>
        <v>0.96633153577392028</v>
      </c>
    </row>
    <row r="529" spans="1:9" x14ac:dyDescent="0.3">
      <c r="A529" t="s">
        <v>552</v>
      </c>
      <c r="B529" t="s">
        <v>51</v>
      </c>
      <c r="C529" s="1">
        <v>44763</v>
      </c>
      <c r="D529" t="s">
        <v>59</v>
      </c>
      <c r="E529" t="s">
        <v>66</v>
      </c>
      <c r="F529">
        <v>72</v>
      </c>
      <c r="G529" t="s">
        <v>1</v>
      </c>
      <c r="H529" s="2">
        <v>7</v>
      </c>
      <c r="I529" s="16">
        <f ca="1">RAND()</f>
        <v>0.20905724308219853</v>
      </c>
    </row>
    <row r="530" spans="1:9" x14ac:dyDescent="0.3">
      <c r="A530" t="s">
        <v>553</v>
      </c>
      <c r="B530" t="s">
        <v>52</v>
      </c>
      <c r="C530" s="1">
        <v>44799</v>
      </c>
      <c r="D530" t="s">
        <v>60</v>
      </c>
      <c r="E530" t="s">
        <v>66</v>
      </c>
      <c r="F530">
        <v>65</v>
      </c>
      <c r="G530" t="s">
        <v>2</v>
      </c>
      <c r="H530" s="2">
        <v>12</v>
      </c>
      <c r="I530" s="16">
        <f ca="1">RAND()</f>
        <v>0.82966284903037779</v>
      </c>
    </row>
    <row r="531" spans="1:9" x14ac:dyDescent="0.3">
      <c r="A531" t="s">
        <v>554</v>
      </c>
      <c r="B531" t="s">
        <v>53</v>
      </c>
      <c r="C531" s="1">
        <v>44798</v>
      </c>
      <c r="D531" t="s">
        <v>61</v>
      </c>
      <c r="E531" t="s">
        <v>67</v>
      </c>
      <c r="F531">
        <v>250</v>
      </c>
      <c r="G531" t="s">
        <v>0</v>
      </c>
      <c r="H531" s="2">
        <v>1</v>
      </c>
      <c r="I531" s="16">
        <f ca="1">RAND()</f>
        <v>0.27771725009540782</v>
      </c>
    </row>
    <row r="532" spans="1:9" x14ac:dyDescent="0.3">
      <c r="A532" t="s">
        <v>555</v>
      </c>
      <c r="B532" t="s">
        <v>54</v>
      </c>
      <c r="C532" s="1">
        <v>44807</v>
      </c>
      <c r="D532" t="s">
        <v>62</v>
      </c>
      <c r="E532" t="s">
        <v>66</v>
      </c>
      <c r="F532">
        <v>130</v>
      </c>
      <c r="G532" t="s">
        <v>1</v>
      </c>
      <c r="H532" s="2">
        <v>2</v>
      </c>
      <c r="I532" s="16">
        <f ca="1">RAND()</f>
        <v>0.11761633380201131</v>
      </c>
    </row>
    <row r="533" spans="1:9" x14ac:dyDescent="0.3">
      <c r="A533" t="s">
        <v>556</v>
      </c>
      <c r="B533" t="s">
        <v>51</v>
      </c>
      <c r="C533" s="1">
        <v>44769</v>
      </c>
      <c r="D533" t="s">
        <v>59</v>
      </c>
      <c r="E533" t="s">
        <v>66</v>
      </c>
      <c r="F533">
        <v>72</v>
      </c>
      <c r="G533" t="s">
        <v>2</v>
      </c>
      <c r="H533" s="2">
        <v>7</v>
      </c>
      <c r="I533" s="16">
        <f ca="1">RAND()</f>
        <v>0.6521958794468421</v>
      </c>
    </row>
    <row r="534" spans="1:9" x14ac:dyDescent="0.3">
      <c r="A534" t="s">
        <v>557</v>
      </c>
      <c r="B534" t="s">
        <v>52</v>
      </c>
      <c r="C534" s="1">
        <v>44779</v>
      </c>
      <c r="D534" t="s">
        <v>60</v>
      </c>
      <c r="E534" t="s">
        <v>66</v>
      </c>
      <c r="F534">
        <v>65</v>
      </c>
      <c r="G534" t="s">
        <v>0</v>
      </c>
      <c r="H534" s="2">
        <v>3</v>
      </c>
      <c r="I534" s="16">
        <f ca="1">RAND()</f>
        <v>0.30024320298187013</v>
      </c>
    </row>
    <row r="535" spans="1:9" x14ac:dyDescent="0.3">
      <c r="A535" t="s">
        <v>558</v>
      </c>
      <c r="B535" t="s">
        <v>53</v>
      </c>
      <c r="C535" s="1">
        <v>44769</v>
      </c>
      <c r="D535" t="s">
        <v>61</v>
      </c>
      <c r="E535" t="s">
        <v>66</v>
      </c>
      <c r="F535">
        <v>250</v>
      </c>
      <c r="G535" t="s">
        <v>1</v>
      </c>
      <c r="H535" s="2">
        <v>2</v>
      </c>
      <c r="I535" s="16">
        <f ca="1">RAND()</f>
        <v>0.2716469984368014</v>
      </c>
    </row>
    <row r="536" spans="1:9" x14ac:dyDescent="0.3">
      <c r="A536" t="s">
        <v>559</v>
      </c>
      <c r="B536" t="s">
        <v>54</v>
      </c>
      <c r="C536" s="1">
        <v>44756</v>
      </c>
      <c r="D536" t="s">
        <v>62</v>
      </c>
      <c r="E536" t="s">
        <v>66</v>
      </c>
      <c r="F536">
        <v>130</v>
      </c>
      <c r="G536" t="s">
        <v>2</v>
      </c>
      <c r="H536" s="2">
        <v>3</v>
      </c>
      <c r="I536" s="16">
        <f ca="1">RAND()</f>
        <v>0.23358919553892488</v>
      </c>
    </row>
    <row r="537" spans="1:9" x14ac:dyDescent="0.3">
      <c r="A537" t="s">
        <v>560</v>
      </c>
      <c r="B537" t="s">
        <v>55</v>
      </c>
      <c r="C537" s="1">
        <v>44799</v>
      </c>
      <c r="D537" t="s">
        <v>63</v>
      </c>
      <c r="E537" t="s">
        <v>67</v>
      </c>
      <c r="F537">
        <v>60</v>
      </c>
      <c r="G537" t="s">
        <v>0</v>
      </c>
      <c r="H537" s="2">
        <v>12</v>
      </c>
      <c r="I537" s="16">
        <f ca="1">RAND()</f>
        <v>0.27674036977218563</v>
      </c>
    </row>
    <row r="538" spans="1:9" x14ac:dyDescent="0.3">
      <c r="A538" t="s">
        <v>561</v>
      </c>
      <c r="B538" t="s">
        <v>56</v>
      </c>
      <c r="C538" s="1">
        <v>44807</v>
      </c>
      <c r="D538" t="s">
        <v>64</v>
      </c>
      <c r="E538" t="s">
        <v>66</v>
      </c>
      <c r="F538">
        <v>95</v>
      </c>
      <c r="G538" t="s">
        <v>1</v>
      </c>
      <c r="H538" s="2">
        <v>3</v>
      </c>
      <c r="I538" s="16">
        <f ca="1">RAND()</f>
        <v>0.7770436526756882</v>
      </c>
    </row>
    <row r="539" spans="1:9" x14ac:dyDescent="0.3">
      <c r="A539" t="s">
        <v>562</v>
      </c>
      <c r="B539" t="s">
        <v>51</v>
      </c>
      <c r="C539" s="1">
        <v>44769</v>
      </c>
      <c r="D539" t="s">
        <v>59</v>
      </c>
      <c r="E539" t="s">
        <v>66</v>
      </c>
      <c r="F539">
        <v>72</v>
      </c>
      <c r="G539" t="s">
        <v>2</v>
      </c>
      <c r="H539" s="2">
        <v>6</v>
      </c>
      <c r="I539" s="16">
        <f ca="1">RAND()</f>
        <v>0.90959249205832071</v>
      </c>
    </row>
    <row r="540" spans="1:9" x14ac:dyDescent="0.3">
      <c r="A540" t="s">
        <v>563</v>
      </c>
      <c r="B540" t="s">
        <v>52</v>
      </c>
      <c r="C540" s="1">
        <v>44805</v>
      </c>
      <c r="D540" t="s">
        <v>60</v>
      </c>
      <c r="E540" t="s">
        <v>66</v>
      </c>
      <c r="F540">
        <v>65</v>
      </c>
      <c r="G540" t="s">
        <v>0</v>
      </c>
      <c r="H540" s="2">
        <v>5</v>
      </c>
      <c r="I540" s="16">
        <f ca="1">RAND()</f>
        <v>4.5490275146531478E-2</v>
      </c>
    </row>
    <row r="541" spans="1:9" x14ac:dyDescent="0.3">
      <c r="A541" t="s">
        <v>564</v>
      </c>
      <c r="B541" t="s">
        <v>53</v>
      </c>
      <c r="C541" s="1">
        <v>44796</v>
      </c>
      <c r="D541" t="s">
        <v>61</v>
      </c>
      <c r="E541" t="s">
        <v>67</v>
      </c>
      <c r="F541">
        <v>250</v>
      </c>
      <c r="G541" t="s">
        <v>1</v>
      </c>
      <c r="H541" s="2">
        <v>3</v>
      </c>
      <c r="I541" s="16">
        <f ca="1">RAND()</f>
        <v>0.39062977261793275</v>
      </c>
    </row>
    <row r="542" spans="1:9" x14ac:dyDescent="0.3">
      <c r="A542" t="s">
        <v>565</v>
      </c>
      <c r="B542" t="s">
        <v>54</v>
      </c>
      <c r="C542" s="1">
        <v>44798</v>
      </c>
      <c r="D542" t="s">
        <v>62</v>
      </c>
      <c r="E542" t="s">
        <v>67</v>
      </c>
      <c r="F542">
        <v>130</v>
      </c>
      <c r="G542" t="s">
        <v>2</v>
      </c>
      <c r="H542" s="2">
        <v>5</v>
      </c>
      <c r="I542" s="16">
        <f ca="1">RAND()</f>
        <v>0.36800715673109663</v>
      </c>
    </row>
    <row r="543" spans="1:9" x14ac:dyDescent="0.3">
      <c r="A543" t="s">
        <v>566</v>
      </c>
      <c r="B543" t="s">
        <v>51</v>
      </c>
      <c r="C543" s="1">
        <v>44756</v>
      </c>
      <c r="D543" t="s">
        <v>59</v>
      </c>
      <c r="E543" t="s">
        <v>67</v>
      </c>
      <c r="F543">
        <v>72</v>
      </c>
      <c r="G543" t="s">
        <v>0</v>
      </c>
      <c r="H543" s="2">
        <v>6</v>
      </c>
      <c r="I543" s="16">
        <f ca="1">RAND()</f>
        <v>0.58807544469689865</v>
      </c>
    </row>
    <row r="544" spans="1:9" x14ac:dyDescent="0.3">
      <c r="A544" t="s">
        <v>567</v>
      </c>
      <c r="B544" t="s">
        <v>52</v>
      </c>
      <c r="C544" s="1">
        <v>44800</v>
      </c>
      <c r="D544" t="s">
        <v>60</v>
      </c>
      <c r="E544" t="s">
        <v>67</v>
      </c>
      <c r="F544">
        <v>65</v>
      </c>
      <c r="G544" t="s">
        <v>1</v>
      </c>
      <c r="H544" s="2">
        <v>11</v>
      </c>
      <c r="I544" s="16">
        <f ca="1">RAND()</f>
        <v>0.23796195960186484</v>
      </c>
    </row>
    <row r="545" spans="1:9" x14ac:dyDescent="0.3">
      <c r="A545" t="s">
        <v>568</v>
      </c>
      <c r="B545" t="s">
        <v>53</v>
      </c>
      <c r="C545" s="1">
        <v>44758</v>
      </c>
      <c r="D545" t="s">
        <v>61</v>
      </c>
      <c r="E545" t="s">
        <v>67</v>
      </c>
      <c r="F545">
        <v>250</v>
      </c>
      <c r="G545" t="s">
        <v>2</v>
      </c>
      <c r="H545" s="2">
        <v>1</v>
      </c>
      <c r="I545" s="16">
        <f ca="1">RAND()</f>
        <v>0.72848337460154799</v>
      </c>
    </row>
    <row r="546" spans="1:9" x14ac:dyDescent="0.3">
      <c r="A546" t="s">
        <v>569</v>
      </c>
      <c r="B546" t="s">
        <v>54</v>
      </c>
      <c r="C546" s="1">
        <v>44788</v>
      </c>
      <c r="D546" t="s">
        <v>62</v>
      </c>
      <c r="E546" t="s">
        <v>67</v>
      </c>
      <c r="F546">
        <v>130</v>
      </c>
      <c r="G546" t="s">
        <v>0</v>
      </c>
      <c r="H546" s="2">
        <v>3</v>
      </c>
      <c r="I546" s="16">
        <f ca="1">RAND()</f>
        <v>1.8497377071340249E-2</v>
      </c>
    </row>
    <row r="547" spans="1:9" x14ac:dyDescent="0.3">
      <c r="A547" t="s">
        <v>570</v>
      </c>
      <c r="B547" t="s">
        <v>51</v>
      </c>
      <c r="C547" s="1">
        <v>44793</v>
      </c>
      <c r="D547" t="s">
        <v>59</v>
      </c>
      <c r="E547" t="s">
        <v>66</v>
      </c>
      <c r="F547">
        <v>72</v>
      </c>
      <c r="G547" t="s">
        <v>0</v>
      </c>
      <c r="H547" s="2">
        <v>10</v>
      </c>
      <c r="I547" s="16">
        <f ca="1">RAND()</f>
        <v>0.85393399112828894</v>
      </c>
    </row>
    <row r="548" spans="1:9" x14ac:dyDescent="0.3">
      <c r="A548" t="s">
        <v>571</v>
      </c>
      <c r="B548" t="s">
        <v>52</v>
      </c>
      <c r="C548" s="1">
        <v>44784</v>
      </c>
      <c r="D548" t="s">
        <v>60</v>
      </c>
      <c r="E548" t="s">
        <v>67</v>
      </c>
      <c r="F548">
        <v>65</v>
      </c>
      <c r="G548" t="s">
        <v>1</v>
      </c>
      <c r="H548" s="2">
        <v>6</v>
      </c>
      <c r="I548" s="16">
        <f ca="1">RAND()</f>
        <v>0.85783342828843834</v>
      </c>
    </row>
    <row r="549" spans="1:9" x14ac:dyDescent="0.3">
      <c r="A549" t="s">
        <v>572</v>
      </c>
      <c r="B549" t="s">
        <v>53</v>
      </c>
      <c r="C549" s="1">
        <v>44793</v>
      </c>
      <c r="D549" t="s">
        <v>61</v>
      </c>
      <c r="E549" t="s">
        <v>66</v>
      </c>
      <c r="F549">
        <v>250</v>
      </c>
      <c r="G549" t="s">
        <v>2</v>
      </c>
      <c r="H549" s="2">
        <v>2</v>
      </c>
      <c r="I549" s="16">
        <f ca="1">RAND()</f>
        <v>0.46563513237801379</v>
      </c>
    </row>
    <row r="550" spans="1:9" x14ac:dyDescent="0.3">
      <c r="A550" t="s">
        <v>573</v>
      </c>
      <c r="B550" t="s">
        <v>54</v>
      </c>
      <c r="C550" s="1">
        <v>44796</v>
      </c>
      <c r="D550" t="s">
        <v>62</v>
      </c>
      <c r="E550" t="s">
        <v>67</v>
      </c>
      <c r="F550">
        <v>130</v>
      </c>
      <c r="G550" t="s">
        <v>0</v>
      </c>
      <c r="H550" s="2">
        <v>5</v>
      </c>
      <c r="I550" s="16">
        <f ca="1">RAND()</f>
        <v>0.91793071698639872</v>
      </c>
    </row>
    <row r="551" spans="1:9" x14ac:dyDescent="0.3">
      <c r="A551" t="s">
        <v>574</v>
      </c>
      <c r="B551" t="s">
        <v>51</v>
      </c>
      <c r="C551" s="1">
        <v>44758</v>
      </c>
      <c r="D551" t="s">
        <v>59</v>
      </c>
      <c r="E551" t="s">
        <v>66</v>
      </c>
      <c r="F551">
        <v>72</v>
      </c>
      <c r="G551" t="s">
        <v>1</v>
      </c>
      <c r="H551" s="2">
        <v>9</v>
      </c>
      <c r="I551" s="16">
        <f ca="1">RAND()</f>
        <v>0.1259615872004769</v>
      </c>
    </row>
    <row r="552" spans="1:9" x14ac:dyDescent="0.3">
      <c r="A552" t="s">
        <v>575</v>
      </c>
      <c r="B552" t="s">
        <v>52</v>
      </c>
      <c r="C552" s="1">
        <v>44757</v>
      </c>
      <c r="D552" t="s">
        <v>60</v>
      </c>
      <c r="E552" t="s">
        <v>67</v>
      </c>
      <c r="F552">
        <v>65</v>
      </c>
      <c r="G552" t="s">
        <v>2</v>
      </c>
      <c r="H552" s="2">
        <v>5</v>
      </c>
      <c r="I552" s="16">
        <f ca="1">RAND()</f>
        <v>0.4627468073664327</v>
      </c>
    </row>
    <row r="553" spans="1:9" x14ac:dyDescent="0.3">
      <c r="A553" t="s">
        <v>576</v>
      </c>
      <c r="B553" t="s">
        <v>53</v>
      </c>
      <c r="C553" s="1">
        <v>44758</v>
      </c>
      <c r="D553" t="s">
        <v>61</v>
      </c>
      <c r="E553" t="s">
        <v>66</v>
      </c>
      <c r="F553">
        <v>250</v>
      </c>
      <c r="G553" t="s">
        <v>0</v>
      </c>
      <c r="H553" s="2">
        <v>1</v>
      </c>
      <c r="I553" s="16">
        <f ca="1">RAND()</f>
        <v>0.52989968079296235</v>
      </c>
    </row>
    <row r="554" spans="1:9" x14ac:dyDescent="0.3">
      <c r="A554" t="s">
        <v>577</v>
      </c>
      <c r="B554" t="s">
        <v>54</v>
      </c>
      <c r="C554" s="1">
        <v>44800</v>
      </c>
      <c r="D554" t="s">
        <v>62</v>
      </c>
      <c r="E554" t="s">
        <v>67</v>
      </c>
      <c r="F554">
        <v>130</v>
      </c>
      <c r="G554" t="s">
        <v>1</v>
      </c>
      <c r="H554" s="2">
        <v>3</v>
      </c>
      <c r="I554" s="16">
        <f ca="1">RAND()</f>
        <v>0.23773378787858501</v>
      </c>
    </row>
    <row r="555" spans="1:9" x14ac:dyDescent="0.3">
      <c r="A555" t="s">
        <v>578</v>
      </c>
      <c r="B555" t="s">
        <v>55</v>
      </c>
      <c r="C555" s="1">
        <v>44780</v>
      </c>
      <c r="D555" t="s">
        <v>63</v>
      </c>
      <c r="E555" t="s">
        <v>66</v>
      </c>
      <c r="F555">
        <v>60</v>
      </c>
      <c r="G555" t="s">
        <v>2</v>
      </c>
      <c r="H555" s="2">
        <v>7</v>
      </c>
      <c r="I555" s="16">
        <f ca="1">RAND()</f>
        <v>0.582407833615181</v>
      </c>
    </row>
    <row r="556" spans="1:9" x14ac:dyDescent="0.3">
      <c r="A556" t="s">
        <v>579</v>
      </c>
      <c r="B556" t="s">
        <v>51</v>
      </c>
      <c r="C556" s="1">
        <v>44807</v>
      </c>
      <c r="D556" t="s">
        <v>59</v>
      </c>
      <c r="E556" t="s">
        <v>67</v>
      </c>
      <c r="F556">
        <v>72</v>
      </c>
      <c r="G556" t="s">
        <v>0</v>
      </c>
      <c r="H556" s="2">
        <v>12</v>
      </c>
      <c r="I556" s="16">
        <f ca="1">RAND()</f>
        <v>0.76901988142828981</v>
      </c>
    </row>
    <row r="557" spans="1:9" x14ac:dyDescent="0.3">
      <c r="A557" t="s">
        <v>580</v>
      </c>
      <c r="B557" t="s">
        <v>52</v>
      </c>
      <c r="C557" s="1">
        <v>44798</v>
      </c>
      <c r="D557" t="s">
        <v>60</v>
      </c>
      <c r="E557" t="s">
        <v>66</v>
      </c>
      <c r="F557">
        <v>65</v>
      </c>
      <c r="G557" t="s">
        <v>1</v>
      </c>
      <c r="H557" s="2">
        <v>12</v>
      </c>
      <c r="I557" s="16">
        <f ca="1">RAND()</f>
        <v>0.59402976455826439</v>
      </c>
    </row>
    <row r="558" spans="1:9" x14ac:dyDescent="0.3">
      <c r="A558" t="s">
        <v>581</v>
      </c>
      <c r="B558" t="s">
        <v>53</v>
      </c>
      <c r="C558" s="1">
        <v>44810</v>
      </c>
      <c r="D558" t="s">
        <v>61</v>
      </c>
      <c r="E558" t="s">
        <v>67</v>
      </c>
      <c r="F558">
        <v>250</v>
      </c>
      <c r="G558" t="s">
        <v>2</v>
      </c>
      <c r="H558" s="2">
        <v>3</v>
      </c>
      <c r="I558" s="16">
        <f ca="1">RAND()</f>
        <v>0.74183100670168889</v>
      </c>
    </row>
    <row r="559" spans="1:9" x14ac:dyDescent="0.3">
      <c r="A559" t="s">
        <v>582</v>
      </c>
      <c r="B559" t="s">
        <v>54</v>
      </c>
      <c r="C559" s="1">
        <v>44764</v>
      </c>
      <c r="D559" t="s">
        <v>62</v>
      </c>
      <c r="E559" t="s">
        <v>66</v>
      </c>
      <c r="F559">
        <v>130</v>
      </c>
      <c r="G559" t="s">
        <v>0</v>
      </c>
      <c r="H559" s="2">
        <v>5</v>
      </c>
      <c r="I559" s="16">
        <f ca="1">RAND()</f>
        <v>0.48278328703318518</v>
      </c>
    </row>
    <row r="560" spans="1:9" x14ac:dyDescent="0.3">
      <c r="A560" t="s">
        <v>583</v>
      </c>
      <c r="B560" t="s">
        <v>51</v>
      </c>
      <c r="C560" s="1">
        <v>44766</v>
      </c>
      <c r="D560" t="s">
        <v>59</v>
      </c>
      <c r="E560" t="s">
        <v>67</v>
      </c>
      <c r="F560">
        <v>72</v>
      </c>
      <c r="G560" t="s">
        <v>1</v>
      </c>
      <c r="H560" s="2">
        <v>4</v>
      </c>
      <c r="I560" s="16">
        <f ca="1">RAND()</f>
        <v>0.22952794057769976</v>
      </c>
    </row>
    <row r="561" spans="1:9" x14ac:dyDescent="0.3">
      <c r="A561" t="s">
        <v>584</v>
      </c>
      <c r="B561" t="s">
        <v>52</v>
      </c>
      <c r="C561" s="1">
        <v>44794</v>
      </c>
      <c r="D561" t="s">
        <v>60</v>
      </c>
      <c r="E561" t="s">
        <v>66</v>
      </c>
      <c r="F561">
        <v>65</v>
      </c>
      <c r="G561" t="s">
        <v>2</v>
      </c>
      <c r="H561" s="2">
        <v>9</v>
      </c>
      <c r="I561" s="16">
        <f ca="1">RAND()</f>
        <v>0.83779677109042683</v>
      </c>
    </row>
    <row r="562" spans="1:9" x14ac:dyDescent="0.3">
      <c r="A562" t="s">
        <v>585</v>
      </c>
      <c r="B562" t="s">
        <v>53</v>
      </c>
      <c r="C562" s="1">
        <v>44800</v>
      </c>
      <c r="D562" t="s">
        <v>61</v>
      </c>
      <c r="E562" t="s">
        <v>67</v>
      </c>
      <c r="F562">
        <v>250</v>
      </c>
      <c r="G562" t="s">
        <v>0</v>
      </c>
      <c r="H562" s="2">
        <v>3</v>
      </c>
      <c r="I562" s="16">
        <f ca="1">RAND()</f>
        <v>0.33832816719233838</v>
      </c>
    </row>
    <row r="563" spans="1:9" x14ac:dyDescent="0.3">
      <c r="A563" t="s">
        <v>586</v>
      </c>
      <c r="B563" t="s">
        <v>54</v>
      </c>
      <c r="C563" s="1">
        <v>44792</v>
      </c>
      <c r="D563" t="s">
        <v>62</v>
      </c>
      <c r="E563" t="s">
        <v>66</v>
      </c>
      <c r="F563">
        <v>130</v>
      </c>
      <c r="G563" t="s">
        <v>1</v>
      </c>
      <c r="H563" s="2">
        <v>5</v>
      </c>
      <c r="I563" s="16">
        <f ca="1">RAND()</f>
        <v>0.23969907215929009</v>
      </c>
    </row>
    <row r="564" spans="1:9" x14ac:dyDescent="0.3">
      <c r="A564" t="s">
        <v>587</v>
      </c>
      <c r="B564" t="s">
        <v>55</v>
      </c>
      <c r="C564" s="1">
        <v>44809</v>
      </c>
      <c r="D564" t="s">
        <v>63</v>
      </c>
      <c r="E564" t="s">
        <v>66</v>
      </c>
      <c r="F564">
        <v>60</v>
      </c>
      <c r="G564" t="s">
        <v>2</v>
      </c>
      <c r="H564" s="2">
        <v>4</v>
      </c>
      <c r="I564" s="16">
        <f ca="1">RAND()</f>
        <v>0.29761512835494619</v>
      </c>
    </row>
    <row r="565" spans="1:9" x14ac:dyDescent="0.3">
      <c r="A565" t="s">
        <v>588</v>
      </c>
      <c r="B565" t="s">
        <v>56</v>
      </c>
      <c r="C565" s="1">
        <v>44789</v>
      </c>
      <c r="D565" t="s">
        <v>64</v>
      </c>
      <c r="E565" t="s">
        <v>67</v>
      </c>
      <c r="F565">
        <v>95</v>
      </c>
      <c r="G565" t="s">
        <v>0</v>
      </c>
      <c r="H565" s="2">
        <v>8</v>
      </c>
      <c r="I565" s="16">
        <f ca="1">RAND()</f>
        <v>0.72159498865291172</v>
      </c>
    </row>
    <row r="566" spans="1:9" x14ac:dyDescent="0.3">
      <c r="A566" t="s">
        <v>589</v>
      </c>
      <c r="B566" t="s">
        <v>51</v>
      </c>
      <c r="C566" s="1">
        <v>44757</v>
      </c>
      <c r="D566" t="s">
        <v>59</v>
      </c>
      <c r="E566" t="s">
        <v>67</v>
      </c>
      <c r="F566">
        <v>72</v>
      </c>
      <c r="G566" t="s">
        <v>1</v>
      </c>
      <c r="H566" s="2">
        <v>9</v>
      </c>
      <c r="I566" s="16">
        <f ca="1">RAND()</f>
        <v>0.66735981219812524</v>
      </c>
    </row>
    <row r="567" spans="1:9" x14ac:dyDescent="0.3">
      <c r="A567" t="s">
        <v>590</v>
      </c>
      <c r="B567" t="s">
        <v>52</v>
      </c>
      <c r="C567" s="1">
        <v>44790</v>
      </c>
      <c r="D567" t="s">
        <v>60</v>
      </c>
      <c r="E567" t="s">
        <v>67</v>
      </c>
      <c r="F567">
        <v>65</v>
      </c>
      <c r="G567" t="s">
        <v>2</v>
      </c>
      <c r="H567" s="2">
        <v>6</v>
      </c>
      <c r="I567" s="16">
        <f ca="1">RAND()</f>
        <v>0.2833072195076588</v>
      </c>
    </row>
    <row r="568" spans="1:9" x14ac:dyDescent="0.3">
      <c r="A568" t="s">
        <v>591</v>
      </c>
      <c r="B568" t="s">
        <v>53</v>
      </c>
      <c r="C568" s="1">
        <v>44808</v>
      </c>
      <c r="D568" t="s">
        <v>61</v>
      </c>
      <c r="E568" t="s">
        <v>66</v>
      </c>
      <c r="F568">
        <v>250</v>
      </c>
      <c r="G568" t="s">
        <v>0</v>
      </c>
      <c r="H568" s="2">
        <v>4</v>
      </c>
      <c r="I568" s="16">
        <f ca="1">RAND()</f>
        <v>0.4242963459608855</v>
      </c>
    </row>
    <row r="569" spans="1:9" x14ac:dyDescent="0.3">
      <c r="A569" t="s">
        <v>592</v>
      </c>
      <c r="B569" t="s">
        <v>54</v>
      </c>
      <c r="C569" s="1">
        <v>44801</v>
      </c>
      <c r="D569" t="s">
        <v>62</v>
      </c>
      <c r="E569" t="s">
        <v>66</v>
      </c>
      <c r="F569">
        <v>130</v>
      </c>
      <c r="G569" t="s">
        <v>1</v>
      </c>
      <c r="H569" s="2">
        <v>4</v>
      </c>
      <c r="I569" s="16">
        <f ca="1">RAND()</f>
        <v>0.40347210241544484</v>
      </c>
    </row>
    <row r="570" spans="1:9" x14ac:dyDescent="0.3">
      <c r="A570" t="s">
        <v>593</v>
      </c>
      <c r="B570" t="s">
        <v>51</v>
      </c>
      <c r="C570" s="1">
        <v>44769</v>
      </c>
      <c r="D570" t="s">
        <v>59</v>
      </c>
      <c r="E570" t="s">
        <v>66</v>
      </c>
      <c r="F570">
        <v>72</v>
      </c>
      <c r="G570" t="s">
        <v>2</v>
      </c>
      <c r="H570" s="2">
        <v>9</v>
      </c>
      <c r="I570" s="16">
        <f ca="1">RAND()</f>
        <v>0.50834107911441395</v>
      </c>
    </row>
    <row r="571" spans="1:9" x14ac:dyDescent="0.3">
      <c r="A571" t="s">
        <v>594</v>
      </c>
      <c r="B571" t="s">
        <v>52</v>
      </c>
      <c r="C571" s="1">
        <v>44757</v>
      </c>
      <c r="D571" t="s">
        <v>60</v>
      </c>
      <c r="E571" t="s">
        <v>66</v>
      </c>
      <c r="F571">
        <v>65</v>
      </c>
      <c r="G571" t="s">
        <v>0</v>
      </c>
      <c r="H571" s="2">
        <v>8</v>
      </c>
      <c r="I571" s="16">
        <f ca="1">RAND()</f>
        <v>0.25388462044497706</v>
      </c>
    </row>
    <row r="572" spans="1:9" x14ac:dyDescent="0.3">
      <c r="A572" t="s">
        <v>595</v>
      </c>
      <c r="B572" t="s">
        <v>53</v>
      </c>
      <c r="C572" s="1">
        <v>44759</v>
      </c>
      <c r="D572" t="s">
        <v>61</v>
      </c>
      <c r="E572" t="s">
        <v>66</v>
      </c>
      <c r="F572">
        <v>250</v>
      </c>
      <c r="G572" t="s">
        <v>1</v>
      </c>
      <c r="H572" s="2">
        <v>1</v>
      </c>
      <c r="I572" s="16">
        <f ca="1">RAND()</f>
        <v>0.52750267121597139</v>
      </c>
    </row>
    <row r="573" spans="1:9" x14ac:dyDescent="0.3">
      <c r="A573" t="s">
        <v>596</v>
      </c>
      <c r="B573" t="s">
        <v>54</v>
      </c>
      <c r="C573" s="1">
        <v>44805</v>
      </c>
      <c r="D573" t="s">
        <v>62</v>
      </c>
      <c r="E573" t="s">
        <v>66</v>
      </c>
      <c r="F573">
        <v>130</v>
      </c>
      <c r="G573" t="s">
        <v>2</v>
      </c>
      <c r="H573" s="2">
        <v>3</v>
      </c>
      <c r="I573" s="16">
        <f ca="1">RAND()</f>
        <v>0.9182338765554886</v>
      </c>
    </row>
    <row r="574" spans="1:9" x14ac:dyDescent="0.3">
      <c r="A574" t="s">
        <v>597</v>
      </c>
      <c r="B574" t="s">
        <v>55</v>
      </c>
      <c r="C574" s="1">
        <v>44760</v>
      </c>
      <c r="D574" t="s">
        <v>63</v>
      </c>
      <c r="E574" t="s">
        <v>66</v>
      </c>
      <c r="F574">
        <v>60</v>
      </c>
      <c r="G574" t="s">
        <v>0</v>
      </c>
      <c r="H574" s="2">
        <v>13</v>
      </c>
      <c r="I574" s="16">
        <f ca="1">RAND()</f>
        <v>0.61698785856972693</v>
      </c>
    </row>
    <row r="575" spans="1:9" x14ac:dyDescent="0.3">
      <c r="A575" t="s">
        <v>598</v>
      </c>
      <c r="B575" t="s">
        <v>51</v>
      </c>
      <c r="C575" s="1">
        <v>44791</v>
      </c>
      <c r="D575" t="s">
        <v>59</v>
      </c>
      <c r="E575" t="s">
        <v>66</v>
      </c>
      <c r="F575">
        <v>72</v>
      </c>
      <c r="G575" t="s">
        <v>1</v>
      </c>
      <c r="H575" s="2">
        <v>4</v>
      </c>
      <c r="I575" s="16">
        <f ca="1">RAND()</f>
        <v>7.8767229819860063E-2</v>
      </c>
    </row>
    <row r="576" spans="1:9" x14ac:dyDescent="0.3">
      <c r="A576" t="s">
        <v>599</v>
      </c>
      <c r="B576" t="s">
        <v>52</v>
      </c>
      <c r="C576" s="1">
        <v>44768</v>
      </c>
      <c r="D576" t="s">
        <v>60</v>
      </c>
      <c r="E576" t="s">
        <v>66</v>
      </c>
      <c r="F576">
        <v>65</v>
      </c>
      <c r="G576" t="s">
        <v>2</v>
      </c>
      <c r="H576" s="2">
        <v>12</v>
      </c>
      <c r="I576" s="16">
        <f ca="1">RAND()</f>
        <v>0.65515338976036563</v>
      </c>
    </row>
    <row r="577" spans="1:9" x14ac:dyDescent="0.3">
      <c r="A577" t="s">
        <v>600</v>
      </c>
      <c r="B577" t="s">
        <v>53</v>
      </c>
      <c r="C577" s="1">
        <v>44759</v>
      </c>
      <c r="D577" t="s">
        <v>61</v>
      </c>
      <c r="E577" t="s">
        <v>67</v>
      </c>
      <c r="F577">
        <v>250</v>
      </c>
      <c r="G577" t="s">
        <v>0</v>
      </c>
      <c r="H577" s="2">
        <v>3</v>
      </c>
      <c r="I577" s="16">
        <f ca="1">RAND()</f>
        <v>6.3759487808965343E-2</v>
      </c>
    </row>
    <row r="578" spans="1:9" x14ac:dyDescent="0.3">
      <c r="A578" t="s">
        <v>601</v>
      </c>
      <c r="B578" t="s">
        <v>54</v>
      </c>
      <c r="C578" s="1">
        <v>44781</v>
      </c>
      <c r="D578" t="s">
        <v>62</v>
      </c>
      <c r="E578" t="s">
        <v>66</v>
      </c>
      <c r="F578">
        <v>130</v>
      </c>
      <c r="G578" t="s">
        <v>1</v>
      </c>
      <c r="H578" s="2">
        <v>6</v>
      </c>
      <c r="I578" s="16">
        <f ca="1">RAND()</f>
        <v>0.45955213661705008</v>
      </c>
    </row>
    <row r="579" spans="1:9" x14ac:dyDescent="0.3">
      <c r="A579" t="s">
        <v>602</v>
      </c>
      <c r="B579" t="s">
        <v>51</v>
      </c>
      <c r="C579" s="1">
        <v>44785</v>
      </c>
      <c r="D579" t="s">
        <v>59</v>
      </c>
      <c r="E579" t="s">
        <v>66</v>
      </c>
      <c r="F579">
        <v>72</v>
      </c>
      <c r="G579" t="s">
        <v>2</v>
      </c>
      <c r="H579" s="2">
        <v>5</v>
      </c>
      <c r="I579" s="16">
        <f ca="1">RAND()</f>
        <v>4.5513979541194516E-2</v>
      </c>
    </row>
    <row r="580" spans="1:9" x14ac:dyDescent="0.3">
      <c r="A580" t="s">
        <v>603</v>
      </c>
      <c r="B580" t="s">
        <v>52</v>
      </c>
      <c r="C580" s="1">
        <v>44775</v>
      </c>
      <c r="D580" t="s">
        <v>60</v>
      </c>
      <c r="E580" t="s">
        <v>66</v>
      </c>
      <c r="F580">
        <v>65</v>
      </c>
      <c r="G580" t="s">
        <v>0</v>
      </c>
      <c r="H580" s="2">
        <v>11</v>
      </c>
      <c r="I580" s="16">
        <f ca="1">RAND()</f>
        <v>0.94009193782156786</v>
      </c>
    </row>
    <row r="581" spans="1:9" x14ac:dyDescent="0.3">
      <c r="A581" t="s">
        <v>604</v>
      </c>
      <c r="B581" t="s">
        <v>53</v>
      </c>
      <c r="C581" s="1">
        <v>44773</v>
      </c>
      <c r="D581" t="s">
        <v>61</v>
      </c>
      <c r="E581" t="s">
        <v>66</v>
      </c>
      <c r="F581">
        <v>250</v>
      </c>
      <c r="G581" t="s">
        <v>1</v>
      </c>
      <c r="H581" s="2">
        <v>2</v>
      </c>
      <c r="I581" s="16">
        <f ca="1">RAND()</f>
        <v>0.76145522242401409</v>
      </c>
    </row>
    <row r="582" spans="1:9" x14ac:dyDescent="0.3">
      <c r="A582" t="s">
        <v>605</v>
      </c>
      <c r="B582" t="s">
        <v>54</v>
      </c>
      <c r="C582" s="1">
        <v>44796</v>
      </c>
      <c r="D582" t="s">
        <v>62</v>
      </c>
      <c r="E582" t="s">
        <v>66</v>
      </c>
      <c r="F582">
        <v>130</v>
      </c>
      <c r="G582" t="s">
        <v>2</v>
      </c>
      <c r="H582" s="2">
        <v>2</v>
      </c>
      <c r="I582" s="16">
        <f ca="1">RAND()</f>
        <v>0.37180491681930583</v>
      </c>
    </row>
    <row r="583" spans="1:9" x14ac:dyDescent="0.3">
      <c r="A583" t="s">
        <v>606</v>
      </c>
      <c r="B583" t="s">
        <v>55</v>
      </c>
      <c r="C583" s="1">
        <v>44801</v>
      </c>
      <c r="D583" t="s">
        <v>63</v>
      </c>
      <c r="E583" t="s">
        <v>67</v>
      </c>
      <c r="F583">
        <v>60</v>
      </c>
      <c r="G583" t="s">
        <v>0</v>
      </c>
      <c r="H583" s="2">
        <v>10</v>
      </c>
      <c r="I583" s="16">
        <f ca="1">RAND()</f>
        <v>0.89691515804616384</v>
      </c>
    </row>
    <row r="584" spans="1:9" x14ac:dyDescent="0.3">
      <c r="A584" t="s">
        <v>607</v>
      </c>
      <c r="B584" t="s">
        <v>56</v>
      </c>
      <c r="C584" s="1">
        <v>44779</v>
      </c>
      <c r="D584" t="s">
        <v>64</v>
      </c>
      <c r="E584" t="s">
        <v>66</v>
      </c>
      <c r="F584">
        <v>95</v>
      </c>
      <c r="G584" t="s">
        <v>1</v>
      </c>
      <c r="H584" s="2">
        <v>6</v>
      </c>
      <c r="I584" s="16">
        <f ca="1">RAND()</f>
        <v>6.8908999230642642E-2</v>
      </c>
    </row>
    <row r="585" spans="1:9" x14ac:dyDescent="0.3">
      <c r="A585" t="s">
        <v>608</v>
      </c>
      <c r="B585" t="s">
        <v>51</v>
      </c>
      <c r="C585" s="1">
        <v>44772</v>
      </c>
      <c r="D585" t="s">
        <v>59</v>
      </c>
      <c r="E585" t="s">
        <v>66</v>
      </c>
      <c r="F585">
        <v>72</v>
      </c>
      <c r="G585" t="s">
        <v>2</v>
      </c>
      <c r="H585" s="2">
        <v>7</v>
      </c>
      <c r="I585" s="16">
        <f ca="1">RAND()</f>
        <v>9.5716502963610339E-2</v>
      </c>
    </row>
    <row r="586" spans="1:9" x14ac:dyDescent="0.3">
      <c r="A586" t="s">
        <v>609</v>
      </c>
      <c r="B586" t="s">
        <v>52</v>
      </c>
      <c r="C586" s="1">
        <v>44757</v>
      </c>
      <c r="D586" t="s">
        <v>60</v>
      </c>
      <c r="E586" t="s">
        <v>66</v>
      </c>
      <c r="F586">
        <v>65</v>
      </c>
      <c r="G586" t="s">
        <v>0</v>
      </c>
      <c r="H586" s="2">
        <v>8</v>
      </c>
      <c r="I586" s="16">
        <f ca="1">RAND()</f>
        <v>0.12581751149018949</v>
      </c>
    </row>
    <row r="587" spans="1:9" x14ac:dyDescent="0.3">
      <c r="A587" t="s">
        <v>610</v>
      </c>
      <c r="B587" t="s">
        <v>53</v>
      </c>
      <c r="C587" s="1">
        <v>44808</v>
      </c>
      <c r="D587" t="s">
        <v>61</v>
      </c>
      <c r="E587" t="s">
        <v>67</v>
      </c>
      <c r="F587">
        <v>250</v>
      </c>
      <c r="G587" t="s">
        <v>1</v>
      </c>
      <c r="H587" s="2">
        <v>4</v>
      </c>
      <c r="I587" s="16">
        <f ca="1">RAND()</f>
        <v>0.90023618391839544</v>
      </c>
    </row>
    <row r="588" spans="1:9" x14ac:dyDescent="0.3">
      <c r="A588" t="s">
        <v>611</v>
      </c>
      <c r="B588" t="s">
        <v>54</v>
      </c>
      <c r="C588" s="1">
        <v>44782</v>
      </c>
      <c r="D588" t="s">
        <v>62</v>
      </c>
      <c r="E588" t="s">
        <v>67</v>
      </c>
      <c r="F588">
        <v>130</v>
      </c>
      <c r="G588" t="s">
        <v>2</v>
      </c>
      <c r="H588" s="2">
        <v>6</v>
      </c>
      <c r="I588" s="16">
        <f ca="1">RAND()</f>
        <v>0.24597732523548377</v>
      </c>
    </row>
    <row r="589" spans="1:9" x14ac:dyDescent="0.3">
      <c r="A589" t="s">
        <v>612</v>
      </c>
      <c r="B589" t="s">
        <v>51</v>
      </c>
      <c r="C589" s="1">
        <v>44787</v>
      </c>
      <c r="D589" t="s">
        <v>59</v>
      </c>
      <c r="E589" t="s">
        <v>67</v>
      </c>
      <c r="F589">
        <v>72</v>
      </c>
      <c r="G589" t="s">
        <v>0</v>
      </c>
      <c r="H589" s="2">
        <v>4</v>
      </c>
      <c r="I589" s="16">
        <f ca="1">RAND()</f>
        <v>5.9314550158042767E-2</v>
      </c>
    </row>
    <row r="590" spans="1:9" x14ac:dyDescent="0.3">
      <c r="A590" t="s">
        <v>613</v>
      </c>
      <c r="B590" t="s">
        <v>52</v>
      </c>
      <c r="C590" s="1">
        <v>44787</v>
      </c>
      <c r="D590" t="s">
        <v>60</v>
      </c>
      <c r="E590" t="s">
        <v>67</v>
      </c>
      <c r="F590">
        <v>65</v>
      </c>
      <c r="G590" t="s">
        <v>1</v>
      </c>
      <c r="H590" s="2">
        <v>9</v>
      </c>
      <c r="I590" s="16">
        <f ca="1">RAND()</f>
        <v>7.6066319078641365E-2</v>
      </c>
    </row>
    <row r="591" spans="1:9" x14ac:dyDescent="0.3">
      <c r="A591" t="s">
        <v>614</v>
      </c>
      <c r="B591" t="s">
        <v>53</v>
      </c>
      <c r="C591" s="1">
        <v>44757</v>
      </c>
      <c r="D591" t="s">
        <v>61</v>
      </c>
      <c r="E591" t="s">
        <v>67</v>
      </c>
      <c r="F591">
        <v>250</v>
      </c>
      <c r="G591" t="s">
        <v>2</v>
      </c>
      <c r="H591" s="2">
        <v>1</v>
      </c>
      <c r="I591" s="16">
        <f ca="1">RAND()</f>
        <v>0.40956799378027331</v>
      </c>
    </row>
    <row r="592" spans="1:9" x14ac:dyDescent="0.3">
      <c r="A592" t="s">
        <v>615</v>
      </c>
      <c r="B592" t="s">
        <v>54</v>
      </c>
      <c r="C592" s="1">
        <v>44761</v>
      </c>
      <c r="D592" t="s">
        <v>62</v>
      </c>
      <c r="E592" t="s">
        <v>67</v>
      </c>
      <c r="F592">
        <v>130</v>
      </c>
      <c r="G592" t="s">
        <v>0</v>
      </c>
      <c r="H592" s="2">
        <v>3</v>
      </c>
      <c r="I592" s="16">
        <f ca="1">RAND()</f>
        <v>0.80224180479742691</v>
      </c>
    </row>
    <row r="593" spans="1:9" x14ac:dyDescent="0.3">
      <c r="A593" t="s">
        <v>616</v>
      </c>
      <c r="B593" t="s">
        <v>51</v>
      </c>
      <c r="C593" s="1">
        <v>44788</v>
      </c>
      <c r="D593" t="s">
        <v>59</v>
      </c>
      <c r="E593" t="s">
        <v>66</v>
      </c>
      <c r="F593">
        <v>72</v>
      </c>
      <c r="G593" t="s">
        <v>0</v>
      </c>
      <c r="H593" s="2">
        <v>6</v>
      </c>
      <c r="I593" s="16">
        <f ca="1">RAND()</f>
        <v>0.50633104757958636</v>
      </c>
    </row>
    <row r="594" spans="1:9" x14ac:dyDescent="0.3">
      <c r="A594" t="s">
        <v>617</v>
      </c>
      <c r="B594" t="s">
        <v>52</v>
      </c>
      <c r="C594" s="1">
        <v>44788</v>
      </c>
      <c r="D594" t="s">
        <v>60</v>
      </c>
      <c r="E594" t="s">
        <v>67</v>
      </c>
      <c r="F594">
        <v>65</v>
      </c>
      <c r="G594" t="s">
        <v>1</v>
      </c>
      <c r="H594" s="2">
        <v>13</v>
      </c>
      <c r="I594" s="16">
        <f ca="1">RAND()</f>
        <v>6.650814749247469E-2</v>
      </c>
    </row>
    <row r="595" spans="1:9" x14ac:dyDescent="0.3">
      <c r="A595" t="s">
        <v>618</v>
      </c>
      <c r="B595" t="s">
        <v>53</v>
      </c>
      <c r="C595" s="1">
        <v>44758</v>
      </c>
      <c r="D595" t="s">
        <v>61</v>
      </c>
      <c r="E595" t="s">
        <v>66</v>
      </c>
      <c r="F595">
        <v>250</v>
      </c>
      <c r="G595" t="s">
        <v>2</v>
      </c>
      <c r="H595" s="2">
        <v>1</v>
      </c>
      <c r="I595" s="16">
        <f ca="1">RAND()</f>
        <v>0.32643130240330853</v>
      </c>
    </row>
    <row r="596" spans="1:9" x14ac:dyDescent="0.3">
      <c r="A596" t="s">
        <v>619</v>
      </c>
      <c r="B596" t="s">
        <v>54</v>
      </c>
      <c r="C596" s="1">
        <v>44795</v>
      </c>
      <c r="D596" t="s">
        <v>62</v>
      </c>
      <c r="E596" t="s">
        <v>67</v>
      </c>
      <c r="F596">
        <v>130</v>
      </c>
      <c r="G596" t="s">
        <v>0</v>
      </c>
      <c r="H596" s="2">
        <v>3</v>
      </c>
      <c r="I596" s="16">
        <f ca="1">RAND()</f>
        <v>0.98357488126025872</v>
      </c>
    </row>
    <row r="597" spans="1:9" x14ac:dyDescent="0.3">
      <c r="A597" t="s">
        <v>620</v>
      </c>
      <c r="B597" t="s">
        <v>51</v>
      </c>
      <c r="C597" s="1">
        <v>44791</v>
      </c>
      <c r="D597" t="s">
        <v>59</v>
      </c>
      <c r="E597" t="s">
        <v>66</v>
      </c>
      <c r="F597">
        <v>72</v>
      </c>
      <c r="G597" t="s">
        <v>1</v>
      </c>
      <c r="H597" s="2">
        <v>6</v>
      </c>
      <c r="I597" s="16">
        <f ca="1">RAND()</f>
        <v>0.55490912807164261</v>
      </c>
    </row>
    <row r="598" spans="1:9" x14ac:dyDescent="0.3">
      <c r="A598" t="s">
        <v>621</v>
      </c>
      <c r="B598" t="s">
        <v>52</v>
      </c>
      <c r="C598" s="1">
        <v>44791</v>
      </c>
      <c r="D598" t="s">
        <v>60</v>
      </c>
      <c r="E598" t="s">
        <v>67</v>
      </c>
      <c r="F598">
        <v>65</v>
      </c>
      <c r="G598" t="s">
        <v>2</v>
      </c>
      <c r="H598" s="2">
        <v>12</v>
      </c>
      <c r="I598" s="16">
        <f ca="1">RAND()</f>
        <v>0.10799092605011795</v>
      </c>
    </row>
    <row r="599" spans="1:9" x14ac:dyDescent="0.3">
      <c r="A599" t="s">
        <v>622</v>
      </c>
      <c r="B599" t="s">
        <v>53</v>
      </c>
      <c r="C599" s="1">
        <v>44794</v>
      </c>
      <c r="D599" t="s">
        <v>61</v>
      </c>
      <c r="E599" t="s">
        <v>66</v>
      </c>
      <c r="F599">
        <v>250</v>
      </c>
      <c r="G599" t="s">
        <v>0</v>
      </c>
      <c r="H599" s="2">
        <v>3</v>
      </c>
      <c r="I599" s="16">
        <f ca="1">RAND()</f>
        <v>0.63721595304325707</v>
      </c>
    </row>
    <row r="600" spans="1:9" x14ac:dyDescent="0.3">
      <c r="A600" t="s">
        <v>623</v>
      </c>
      <c r="B600" t="s">
        <v>54</v>
      </c>
      <c r="C600" s="1">
        <v>44756</v>
      </c>
      <c r="D600" t="s">
        <v>62</v>
      </c>
      <c r="E600" t="s">
        <v>67</v>
      </c>
      <c r="F600">
        <v>130</v>
      </c>
      <c r="G600" t="s">
        <v>1</v>
      </c>
      <c r="H600" s="2">
        <v>4</v>
      </c>
      <c r="I600" s="16">
        <f ca="1">RAND()</f>
        <v>0.3344551336652406</v>
      </c>
    </row>
    <row r="601" spans="1:9" x14ac:dyDescent="0.3">
      <c r="A601" t="s">
        <v>624</v>
      </c>
      <c r="B601" t="s">
        <v>55</v>
      </c>
      <c r="C601" s="1">
        <v>44789</v>
      </c>
      <c r="D601" t="s">
        <v>63</v>
      </c>
      <c r="E601" t="s">
        <v>66</v>
      </c>
      <c r="F601">
        <v>60</v>
      </c>
      <c r="G601" t="s">
        <v>2</v>
      </c>
      <c r="H601" s="2">
        <v>11</v>
      </c>
      <c r="I601" s="16">
        <f ca="1">RAND()</f>
        <v>0.52115267405143451</v>
      </c>
    </row>
    <row r="602" spans="1:9" x14ac:dyDescent="0.3">
      <c r="A602" t="s">
        <v>625</v>
      </c>
      <c r="B602" t="s">
        <v>51</v>
      </c>
      <c r="C602" s="1">
        <v>44810</v>
      </c>
      <c r="D602" t="s">
        <v>59</v>
      </c>
      <c r="E602" t="s">
        <v>67</v>
      </c>
      <c r="F602">
        <v>72</v>
      </c>
      <c r="G602" t="s">
        <v>0</v>
      </c>
      <c r="H602" s="2">
        <v>3</v>
      </c>
      <c r="I602" s="16">
        <f ca="1">RAND()</f>
        <v>0.82839690003649225</v>
      </c>
    </row>
    <row r="603" spans="1:9" x14ac:dyDescent="0.3">
      <c r="A603" t="s">
        <v>626</v>
      </c>
      <c r="B603" t="s">
        <v>52</v>
      </c>
      <c r="C603" s="1">
        <v>44798</v>
      </c>
      <c r="D603" t="s">
        <v>60</v>
      </c>
      <c r="E603" t="s">
        <v>66</v>
      </c>
      <c r="F603">
        <v>65</v>
      </c>
      <c r="G603" t="s">
        <v>1</v>
      </c>
      <c r="H603" s="2">
        <v>8</v>
      </c>
      <c r="I603" s="16">
        <f ca="1">RAND()</f>
        <v>0.8308528856245414</v>
      </c>
    </row>
    <row r="604" spans="1:9" x14ac:dyDescent="0.3">
      <c r="A604" t="s">
        <v>627</v>
      </c>
      <c r="B604" t="s">
        <v>53</v>
      </c>
      <c r="C604" s="1">
        <v>44791</v>
      </c>
      <c r="D604" t="s">
        <v>61</v>
      </c>
      <c r="E604" t="s">
        <v>67</v>
      </c>
      <c r="F604">
        <v>250</v>
      </c>
      <c r="G604" t="s">
        <v>2</v>
      </c>
      <c r="H604" s="2">
        <v>3</v>
      </c>
      <c r="I604" s="16">
        <f ca="1">RAND()</f>
        <v>0.79226866962287867</v>
      </c>
    </row>
    <row r="605" spans="1:9" x14ac:dyDescent="0.3">
      <c r="A605" t="s">
        <v>628</v>
      </c>
      <c r="B605" t="s">
        <v>54</v>
      </c>
      <c r="C605" s="1">
        <v>44796</v>
      </c>
      <c r="D605" t="s">
        <v>62</v>
      </c>
      <c r="E605" t="s">
        <v>66</v>
      </c>
      <c r="F605">
        <v>130</v>
      </c>
      <c r="G605" t="s">
        <v>0</v>
      </c>
      <c r="H605" s="2">
        <v>2</v>
      </c>
      <c r="I605" s="16">
        <f ca="1">RAND()</f>
        <v>0.97434480054367834</v>
      </c>
    </row>
    <row r="606" spans="1:9" x14ac:dyDescent="0.3">
      <c r="A606" t="s">
        <v>629</v>
      </c>
      <c r="B606" t="s">
        <v>51</v>
      </c>
      <c r="C606" s="1">
        <v>44810</v>
      </c>
      <c r="D606" t="s">
        <v>59</v>
      </c>
      <c r="E606" t="s">
        <v>67</v>
      </c>
      <c r="F606">
        <v>72</v>
      </c>
      <c r="G606" t="s">
        <v>1</v>
      </c>
      <c r="H606" s="2">
        <v>12</v>
      </c>
      <c r="I606" s="16">
        <f ca="1">RAND()</f>
        <v>0.59184630257101301</v>
      </c>
    </row>
    <row r="607" spans="1:9" x14ac:dyDescent="0.3">
      <c r="A607" t="s">
        <v>630</v>
      </c>
      <c r="B607" t="s">
        <v>52</v>
      </c>
      <c r="C607" s="1">
        <v>44791</v>
      </c>
      <c r="D607" t="s">
        <v>60</v>
      </c>
      <c r="E607" t="s">
        <v>66</v>
      </c>
      <c r="F607">
        <v>65</v>
      </c>
      <c r="G607" t="s">
        <v>2</v>
      </c>
      <c r="H607" s="2">
        <v>13</v>
      </c>
      <c r="I607" s="16">
        <f ca="1">RAND()</f>
        <v>0.48005351103699856</v>
      </c>
    </row>
    <row r="608" spans="1:9" x14ac:dyDescent="0.3">
      <c r="A608" t="s">
        <v>631</v>
      </c>
      <c r="B608" t="s">
        <v>53</v>
      </c>
      <c r="C608" s="1">
        <v>44797</v>
      </c>
      <c r="D608" t="s">
        <v>61</v>
      </c>
      <c r="E608" t="s">
        <v>67</v>
      </c>
      <c r="F608">
        <v>250</v>
      </c>
      <c r="G608" t="s">
        <v>0</v>
      </c>
      <c r="H608" s="2">
        <v>2</v>
      </c>
      <c r="I608" s="16">
        <f ca="1">RAND()</f>
        <v>0.15124665886443189</v>
      </c>
    </row>
    <row r="609" spans="1:9" x14ac:dyDescent="0.3">
      <c r="A609" t="s">
        <v>632</v>
      </c>
      <c r="B609" t="s">
        <v>54</v>
      </c>
      <c r="C609" s="1">
        <v>44777</v>
      </c>
      <c r="D609" t="s">
        <v>62</v>
      </c>
      <c r="E609" t="s">
        <v>66</v>
      </c>
      <c r="F609">
        <v>130</v>
      </c>
      <c r="G609" t="s">
        <v>1</v>
      </c>
      <c r="H609" s="2">
        <v>4</v>
      </c>
      <c r="I609" s="16">
        <f ca="1">RAND()</f>
        <v>0.7549211509318976</v>
      </c>
    </row>
    <row r="610" spans="1:9" x14ac:dyDescent="0.3">
      <c r="A610" t="s">
        <v>633</v>
      </c>
      <c r="B610" t="s">
        <v>55</v>
      </c>
      <c r="C610" s="1">
        <v>44802</v>
      </c>
      <c r="D610" t="s">
        <v>63</v>
      </c>
      <c r="E610" t="s">
        <v>66</v>
      </c>
      <c r="F610">
        <v>60</v>
      </c>
      <c r="G610" t="s">
        <v>2</v>
      </c>
      <c r="H610" s="2">
        <v>4</v>
      </c>
      <c r="I610" s="16">
        <f ca="1">RAND()</f>
        <v>0.77766722207130889</v>
      </c>
    </row>
    <row r="611" spans="1:9" x14ac:dyDescent="0.3">
      <c r="A611" t="s">
        <v>634</v>
      </c>
      <c r="B611" t="s">
        <v>56</v>
      </c>
      <c r="C611" s="1">
        <v>44758</v>
      </c>
      <c r="D611" t="s">
        <v>64</v>
      </c>
      <c r="E611" t="s">
        <v>67</v>
      </c>
      <c r="F611">
        <v>95</v>
      </c>
      <c r="G611" t="s">
        <v>0</v>
      </c>
      <c r="H611" s="2">
        <v>8</v>
      </c>
      <c r="I611" s="16">
        <f ca="1">RAND()</f>
        <v>0.47524095710101999</v>
      </c>
    </row>
    <row r="612" spans="1:9" x14ac:dyDescent="0.3">
      <c r="A612" t="s">
        <v>635</v>
      </c>
      <c r="B612" t="s">
        <v>51</v>
      </c>
      <c r="C612" s="1">
        <v>44768</v>
      </c>
      <c r="D612" t="s">
        <v>59</v>
      </c>
      <c r="E612" t="s">
        <v>67</v>
      </c>
      <c r="F612">
        <v>72</v>
      </c>
      <c r="G612" t="s">
        <v>1</v>
      </c>
      <c r="H612" s="2">
        <v>10</v>
      </c>
      <c r="I612" s="16">
        <f ca="1">RAND()</f>
        <v>0.66643529516581113</v>
      </c>
    </row>
    <row r="613" spans="1:9" x14ac:dyDescent="0.3">
      <c r="A613" t="s">
        <v>636</v>
      </c>
      <c r="B613" t="s">
        <v>52</v>
      </c>
      <c r="C613" s="1">
        <v>44756</v>
      </c>
      <c r="D613" t="s">
        <v>60</v>
      </c>
      <c r="E613" t="s">
        <v>67</v>
      </c>
      <c r="F613">
        <v>65</v>
      </c>
      <c r="G613" t="s">
        <v>2</v>
      </c>
      <c r="H613" s="2">
        <v>7</v>
      </c>
      <c r="I613" s="16">
        <f ca="1">RAND()</f>
        <v>0.46821241496904786</v>
      </c>
    </row>
    <row r="614" spans="1:9" x14ac:dyDescent="0.3">
      <c r="A614" t="s">
        <v>637</v>
      </c>
      <c r="B614" t="s">
        <v>53</v>
      </c>
      <c r="C614" s="1">
        <v>44809</v>
      </c>
      <c r="D614" t="s">
        <v>61</v>
      </c>
      <c r="E614" t="s">
        <v>66</v>
      </c>
      <c r="F614">
        <v>250</v>
      </c>
      <c r="G614" t="s">
        <v>0</v>
      </c>
      <c r="H614" s="2">
        <v>3</v>
      </c>
      <c r="I614" s="16">
        <f ca="1">RAND()</f>
        <v>0.83915352103985985</v>
      </c>
    </row>
    <row r="615" spans="1:9" x14ac:dyDescent="0.3">
      <c r="A615" t="s">
        <v>638</v>
      </c>
      <c r="B615" t="s">
        <v>54</v>
      </c>
      <c r="C615" s="1">
        <v>44801</v>
      </c>
      <c r="D615" t="s">
        <v>62</v>
      </c>
      <c r="E615" t="s">
        <v>66</v>
      </c>
      <c r="F615">
        <v>130</v>
      </c>
      <c r="G615" t="s">
        <v>1</v>
      </c>
      <c r="H615" s="2">
        <v>6</v>
      </c>
      <c r="I615" s="16">
        <f ca="1">RAND()</f>
        <v>0.28122890396665456</v>
      </c>
    </row>
    <row r="616" spans="1:9" x14ac:dyDescent="0.3">
      <c r="A616" t="s">
        <v>639</v>
      </c>
      <c r="B616" t="s">
        <v>51</v>
      </c>
      <c r="C616" s="1">
        <v>44794</v>
      </c>
      <c r="D616" t="s">
        <v>59</v>
      </c>
      <c r="E616" t="s">
        <v>66</v>
      </c>
      <c r="F616">
        <v>72</v>
      </c>
      <c r="G616" t="s">
        <v>2</v>
      </c>
      <c r="H616" s="2">
        <v>7</v>
      </c>
      <c r="I616" s="16">
        <f ca="1">RAND()</f>
        <v>0.42962144249494028</v>
      </c>
    </row>
    <row r="617" spans="1:9" x14ac:dyDescent="0.3">
      <c r="A617" t="s">
        <v>640</v>
      </c>
      <c r="B617" t="s">
        <v>52</v>
      </c>
      <c r="C617" s="1">
        <v>44792</v>
      </c>
      <c r="D617" t="s">
        <v>60</v>
      </c>
      <c r="E617" t="s">
        <v>66</v>
      </c>
      <c r="F617">
        <v>65</v>
      </c>
      <c r="G617" t="s">
        <v>0</v>
      </c>
      <c r="H617" s="2">
        <v>3</v>
      </c>
      <c r="I617" s="16">
        <f ca="1">RAND()</f>
        <v>0.94809721770667899</v>
      </c>
    </row>
    <row r="618" spans="1:9" x14ac:dyDescent="0.3">
      <c r="A618" t="s">
        <v>641</v>
      </c>
      <c r="B618" t="s">
        <v>53</v>
      </c>
      <c r="C618" s="1">
        <v>44770</v>
      </c>
      <c r="D618" t="s">
        <v>61</v>
      </c>
      <c r="E618" t="s">
        <v>66</v>
      </c>
      <c r="F618">
        <v>250</v>
      </c>
      <c r="G618" t="s">
        <v>1</v>
      </c>
      <c r="H618" s="2">
        <v>1</v>
      </c>
      <c r="I618" s="16">
        <f ca="1">RAND()</f>
        <v>0.75225878803629376</v>
      </c>
    </row>
    <row r="619" spans="1:9" x14ac:dyDescent="0.3">
      <c r="A619" t="s">
        <v>642</v>
      </c>
      <c r="B619" t="s">
        <v>54</v>
      </c>
      <c r="C619" s="1">
        <v>44761</v>
      </c>
      <c r="D619" t="s">
        <v>62</v>
      </c>
      <c r="E619" t="s">
        <v>66</v>
      </c>
      <c r="F619">
        <v>130</v>
      </c>
      <c r="G619" t="s">
        <v>2</v>
      </c>
      <c r="H619" s="2">
        <v>5</v>
      </c>
      <c r="I619" s="16">
        <f ca="1">RAND()</f>
        <v>0.36213567049710604</v>
      </c>
    </row>
    <row r="620" spans="1:9" x14ac:dyDescent="0.3">
      <c r="A620" t="s">
        <v>643</v>
      </c>
      <c r="B620" t="s">
        <v>55</v>
      </c>
      <c r="C620" s="1">
        <v>44773</v>
      </c>
      <c r="D620" t="s">
        <v>63</v>
      </c>
      <c r="E620" t="s">
        <v>66</v>
      </c>
      <c r="F620">
        <v>60</v>
      </c>
      <c r="G620" t="s">
        <v>0</v>
      </c>
      <c r="H620" s="2">
        <v>7</v>
      </c>
      <c r="I620" s="16">
        <f ca="1">RAND()</f>
        <v>0.76861562111725801</v>
      </c>
    </row>
    <row r="621" spans="1:9" x14ac:dyDescent="0.3">
      <c r="A621" t="s">
        <v>644</v>
      </c>
      <c r="B621" t="s">
        <v>51</v>
      </c>
      <c r="C621" s="1">
        <v>44766</v>
      </c>
      <c r="D621" t="s">
        <v>59</v>
      </c>
      <c r="E621" t="s">
        <v>66</v>
      </c>
      <c r="F621">
        <v>72</v>
      </c>
      <c r="G621" t="s">
        <v>1</v>
      </c>
      <c r="H621" s="2">
        <v>7</v>
      </c>
      <c r="I621" s="16">
        <f ca="1">RAND()</f>
        <v>0.12147521776120729</v>
      </c>
    </row>
    <row r="622" spans="1:9" x14ac:dyDescent="0.3">
      <c r="A622" t="s">
        <v>645</v>
      </c>
      <c r="B622" t="s">
        <v>52</v>
      </c>
      <c r="C622" s="1">
        <v>44793</v>
      </c>
      <c r="D622" t="s">
        <v>60</v>
      </c>
      <c r="E622" t="s">
        <v>66</v>
      </c>
      <c r="F622">
        <v>65</v>
      </c>
      <c r="G622" t="s">
        <v>2</v>
      </c>
      <c r="H622" s="2">
        <v>11</v>
      </c>
      <c r="I622" s="16">
        <f ca="1">RAND()</f>
        <v>0.35220114945592118</v>
      </c>
    </row>
    <row r="623" spans="1:9" x14ac:dyDescent="0.3">
      <c r="A623" t="s">
        <v>646</v>
      </c>
      <c r="B623" t="s">
        <v>53</v>
      </c>
      <c r="C623" s="1">
        <v>44769</v>
      </c>
      <c r="D623" t="s">
        <v>61</v>
      </c>
      <c r="E623" t="s">
        <v>67</v>
      </c>
      <c r="F623">
        <v>250</v>
      </c>
      <c r="G623" t="s">
        <v>0</v>
      </c>
      <c r="H623" s="2">
        <v>1</v>
      </c>
      <c r="I623" s="16">
        <f ca="1">RAND()</f>
        <v>0.92247024330770833</v>
      </c>
    </row>
    <row r="624" spans="1:9" x14ac:dyDescent="0.3">
      <c r="A624" t="s">
        <v>647</v>
      </c>
      <c r="B624" t="s">
        <v>54</v>
      </c>
      <c r="C624" s="1">
        <v>44758</v>
      </c>
      <c r="D624" t="s">
        <v>62</v>
      </c>
      <c r="E624" t="s">
        <v>66</v>
      </c>
      <c r="F624">
        <v>130</v>
      </c>
      <c r="G624" t="s">
        <v>1</v>
      </c>
      <c r="H624" s="2">
        <v>5</v>
      </c>
      <c r="I624" s="16">
        <f ca="1">RAND()</f>
        <v>0.2087567817227336</v>
      </c>
    </row>
    <row r="625" spans="1:9" x14ac:dyDescent="0.3">
      <c r="A625" t="s">
        <v>648</v>
      </c>
      <c r="B625" t="s">
        <v>51</v>
      </c>
      <c r="C625" s="1">
        <v>44803</v>
      </c>
      <c r="D625" t="s">
        <v>59</v>
      </c>
      <c r="E625" t="s">
        <v>66</v>
      </c>
      <c r="F625">
        <v>72</v>
      </c>
      <c r="G625" t="s">
        <v>2</v>
      </c>
      <c r="H625" s="2">
        <v>11</v>
      </c>
      <c r="I625" s="16">
        <f ca="1">RAND()</f>
        <v>0.46239058728655114</v>
      </c>
    </row>
    <row r="626" spans="1:9" x14ac:dyDescent="0.3">
      <c r="A626" t="s">
        <v>649</v>
      </c>
      <c r="B626" t="s">
        <v>52</v>
      </c>
      <c r="C626" s="1">
        <v>44808</v>
      </c>
      <c r="D626" t="s">
        <v>60</v>
      </c>
      <c r="E626" t="s">
        <v>66</v>
      </c>
      <c r="F626">
        <v>65</v>
      </c>
      <c r="G626" t="s">
        <v>0</v>
      </c>
      <c r="H626" s="2">
        <v>7</v>
      </c>
      <c r="I626" s="16">
        <f ca="1">RAND()</f>
        <v>0.41276744299229273</v>
      </c>
    </row>
    <row r="627" spans="1:9" x14ac:dyDescent="0.3">
      <c r="A627" t="s">
        <v>650</v>
      </c>
      <c r="B627" t="s">
        <v>53</v>
      </c>
      <c r="C627" s="1">
        <v>44784</v>
      </c>
      <c r="D627" t="s">
        <v>61</v>
      </c>
      <c r="E627" t="s">
        <v>66</v>
      </c>
      <c r="F627">
        <v>250</v>
      </c>
      <c r="G627" t="s">
        <v>1</v>
      </c>
      <c r="H627" s="2">
        <v>2</v>
      </c>
      <c r="I627" s="16">
        <f ca="1">RAND()</f>
        <v>0.65612589506235863</v>
      </c>
    </row>
    <row r="628" spans="1:9" x14ac:dyDescent="0.3">
      <c r="A628" t="s">
        <v>651</v>
      </c>
      <c r="B628" t="s">
        <v>54</v>
      </c>
      <c r="C628" s="1">
        <v>44764</v>
      </c>
      <c r="D628" t="s">
        <v>62</v>
      </c>
      <c r="E628" t="s">
        <v>66</v>
      </c>
      <c r="F628">
        <v>130</v>
      </c>
      <c r="G628" t="s">
        <v>2</v>
      </c>
      <c r="H628" s="2">
        <v>3</v>
      </c>
      <c r="I628" s="16">
        <f ca="1">RAND()</f>
        <v>0.74516876783522956</v>
      </c>
    </row>
    <row r="629" spans="1:9" x14ac:dyDescent="0.3">
      <c r="A629" t="s">
        <v>652</v>
      </c>
      <c r="B629" t="s">
        <v>55</v>
      </c>
      <c r="C629" s="1">
        <v>44795</v>
      </c>
      <c r="D629" t="s">
        <v>63</v>
      </c>
      <c r="E629" t="s">
        <v>67</v>
      </c>
      <c r="F629">
        <v>60</v>
      </c>
      <c r="G629" t="s">
        <v>0</v>
      </c>
      <c r="H629" s="2">
        <v>4</v>
      </c>
      <c r="I629" s="16">
        <f ca="1">RAND()</f>
        <v>0.34480875110469322</v>
      </c>
    </row>
    <row r="630" spans="1:9" x14ac:dyDescent="0.3">
      <c r="A630" t="s">
        <v>653</v>
      </c>
      <c r="B630" t="s">
        <v>56</v>
      </c>
      <c r="C630" s="1">
        <v>44799</v>
      </c>
      <c r="D630" t="s">
        <v>64</v>
      </c>
      <c r="E630" t="s">
        <v>66</v>
      </c>
      <c r="F630">
        <v>95</v>
      </c>
      <c r="G630" t="s">
        <v>1</v>
      </c>
      <c r="H630" s="2">
        <v>4</v>
      </c>
      <c r="I630" s="16">
        <f ca="1">RAND()</f>
        <v>0.51589321937295651</v>
      </c>
    </row>
    <row r="631" spans="1:9" x14ac:dyDescent="0.3">
      <c r="A631" t="s">
        <v>654</v>
      </c>
      <c r="B631" t="s">
        <v>51</v>
      </c>
      <c r="C631" s="1">
        <v>44800</v>
      </c>
      <c r="D631" t="s">
        <v>59</v>
      </c>
      <c r="E631" t="s">
        <v>66</v>
      </c>
      <c r="F631">
        <v>72</v>
      </c>
      <c r="G631" t="s">
        <v>2</v>
      </c>
      <c r="H631" s="2">
        <v>8</v>
      </c>
      <c r="I631" s="16">
        <f ca="1">RAND()</f>
        <v>0.86374784640393154</v>
      </c>
    </row>
    <row r="632" spans="1:9" x14ac:dyDescent="0.3">
      <c r="A632" t="s">
        <v>655</v>
      </c>
      <c r="B632" t="s">
        <v>52</v>
      </c>
      <c r="C632" s="1">
        <v>44771</v>
      </c>
      <c r="D632" t="s">
        <v>60</v>
      </c>
      <c r="E632" t="s">
        <v>66</v>
      </c>
      <c r="F632">
        <v>65</v>
      </c>
      <c r="G632" t="s">
        <v>0</v>
      </c>
      <c r="H632" s="2">
        <v>12</v>
      </c>
      <c r="I632" s="16">
        <f ca="1">RAND()</f>
        <v>1.7169001369243375E-2</v>
      </c>
    </row>
    <row r="633" spans="1:9" x14ac:dyDescent="0.3">
      <c r="A633" t="s">
        <v>656</v>
      </c>
      <c r="B633" t="s">
        <v>53</v>
      </c>
      <c r="C633" s="1">
        <v>44760</v>
      </c>
      <c r="D633" t="s">
        <v>61</v>
      </c>
      <c r="E633" t="s">
        <v>67</v>
      </c>
      <c r="F633">
        <v>250</v>
      </c>
      <c r="G633" t="s">
        <v>1</v>
      </c>
      <c r="H633" s="2">
        <v>3</v>
      </c>
      <c r="I633" s="16">
        <f ca="1">RAND()</f>
        <v>0.15138468570532548</v>
      </c>
    </row>
    <row r="634" spans="1:9" x14ac:dyDescent="0.3">
      <c r="A634" t="s">
        <v>657</v>
      </c>
      <c r="B634" t="s">
        <v>54</v>
      </c>
      <c r="C634" s="1">
        <v>44778</v>
      </c>
      <c r="D634" t="s">
        <v>62</v>
      </c>
      <c r="E634" t="s">
        <v>67</v>
      </c>
      <c r="F634">
        <v>130</v>
      </c>
      <c r="G634" t="s">
        <v>2</v>
      </c>
      <c r="H634" s="2">
        <v>2</v>
      </c>
      <c r="I634" s="16">
        <f ca="1">RAND()</f>
        <v>2.3019392019718365E-2</v>
      </c>
    </row>
    <row r="635" spans="1:9" x14ac:dyDescent="0.3">
      <c r="A635" t="s">
        <v>658</v>
      </c>
      <c r="B635" t="s">
        <v>51</v>
      </c>
      <c r="C635" s="1">
        <v>44755</v>
      </c>
      <c r="D635" t="s">
        <v>59</v>
      </c>
      <c r="E635" t="s">
        <v>67</v>
      </c>
      <c r="F635">
        <v>72</v>
      </c>
      <c r="G635" t="s">
        <v>0</v>
      </c>
      <c r="H635" s="2">
        <v>10</v>
      </c>
      <c r="I635" s="16">
        <f ca="1">RAND()</f>
        <v>0.76330609286732254</v>
      </c>
    </row>
    <row r="636" spans="1:9" x14ac:dyDescent="0.3">
      <c r="A636" t="s">
        <v>659</v>
      </c>
      <c r="B636" t="s">
        <v>52</v>
      </c>
      <c r="C636" s="1">
        <v>44770</v>
      </c>
      <c r="D636" t="s">
        <v>60</v>
      </c>
      <c r="E636" t="s">
        <v>67</v>
      </c>
      <c r="F636">
        <v>65</v>
      </c>
      <c r="G636" t="s">
        <v>1</v>
      </c>
      <c r="H636" s="2">
        <v>9</v>
      </c>
      <c r="I636" s="16">
        <f ca="1">RAND()</f>
        <v>0.10566174118535299</v>
      </c>
    </row>
    <row r="637" spans="1:9" x14ac:dyDescent="0.3">
      <c r="A637" t="s">
        <v>660</v>
      </c>
      <c r="B637" t="s">
        <v>53</v>
      </c>
      <c r="C637" s="1">
        <v>44772</v>
      </c>
      <c r="D637" t="s">
        <v>61</v>
      </c>
      <c r="E637" t="s">
        <v>67</v>
      </c>
      <c r="F637">
        <v>250</v>
      </c>
      <c r="G637" t="s">
        <v>2</v>
      </c>
      <c r="H637" s="2">
        <v>2</v>
      </c>
      <c r="I637" s="16">
        <f ca="1">RAND()</f>
        <v>0.23221493848979502</v>
      </c>
    </row>
    <row r="638" spans="1:9" x14ac:dyDescent="0.3">
      <c r="A638" t="s">
        <v>661</v>
      </c>
      <c r="B638" t="s">
        <v>54</v>
      </c>
      <c r="C638" s="1">
        <v>44799</v>
      </c>
      <c r="D638" t="s">
        <v>62</v>
      </c>
      <c r="E638" t="s">
        <v>67</v>
      </c>
      <c r="F638">
        <v>130</v>
      </c>
      <c r="G638" t="s">
        <v>0</v>
      </c>
      <c r="H638" s="2">
        <v>3</v>
      </c>
      <c r="I638" s="16">
        <f ca="1">RAND()</f>
        <v>0.10382746116041819</v>
      </c>
    </row>
    <row r="639" spans="1:9" x14ac:dyDescent="0.3">
      <c r="A639" t="s">
        <v>662</v>
      </c>
      <c r="B639" t="s">
        <v>51</v>
      </c>
      <c r="C639" s="1">
        <v>44782</v>
      </c>
      <c r="D639" t="s">
        <v>59</v>
      </c>
      <c r="E639" t="s">
        <v>66</v>
      </c>
      <c r="F639">
        <v>72</v>
      </c>
      <c r="G639" t="s">
        <v>0</v>
      </c>
      <c r="H639" s="2">
        <v>9</v>
      </c>
      <c r="I639" s="16">
        <f ca="1">RAND()</f>
        <v>3.6751591018218011E-2</v>
      </c>
    </row>
    <row r="640" spans="1:9" x14ac:dyDescent="0.3">
      <c r="A640" t="s">
        <v>663</v>
      </c>
      <c r="B640" t="s">
        <v>52</v>
      </c>
      <c r="C640" s="1">
        <v>44761</v>
      </c>
      <c r="D640" t="s">
        <v>60</v>
      </c>
      <c r="E640" t="s">
        <v>67</v>
      </c>
      <c r="F640">
        <v>65</v>
      </c>
      <c r="G640" t="s">
        <v>1</v>
      </c>
      <c r="H640" s="2">
        <v>6</v>
      </c>
      <c r="I640" s="16">
        <f ca="1">RAND()</f>
        <v>0.69898895755618318</v>
      </c>
    </row>
    <row r="641" spans="1:9" x14ac:dyDescent="0.3">
      <c r="A641" t="s">
        <v>664</v>
      </c>
      <c r="B641" t="s">
        <v>53</v>
      </c>
      <c r="C641" s="1">
        <v>44794</v>
      </c>
      <c r="D641" t="s">
        <v>61</v>
      </c>
      <c r="E641" t="s">
        <v>66</v>
      </c>
      <c r="F641">
        <v>250</v>
      </c>
      <c r="G641" t="s">
        <v>2</v>
      </c>
      <c r="H641" s="2">
        <v>3</v>
      </c>
      <c r="I641" s="16">
        <f ca="1">RAND()</f>
        <v>0.35999406419975588</v>
      </c>
    </row>
    <row r="642" spans="1:9" x14ac:dyDescent="0.3">
      <c r="A642" t="s">
        <v>665</v>
      </c>
      <c r="B642" t="s">
        <v>54</v>
      </c>
      <c r="C642" s="1">
        <v>44762</v>
      </c>
      <c r="D642" t="s">
        <v>62</v>
      </c>
      <c r="E642" t="s">
        <v>67</v>
      </c>
      <c r="F642">
        <v>130</v>
      </c>
      <c r="G642" t="s">
        <v>0</v>
      </c>
      <c r="H642" s="2">
        <v>3</v>
      </c>
      <c r="I642" s="16">
        <f ca="1">RAND()</f>
        <v>0.6418953210366708</v>
      </c>
    </row>
    <row r="643" spans="1:9" x14ac:dyDescent="0.3">
      <c r="A643" t="s">
        <v>666</v>
      </c>
      <c r="B643" t="s">
        <v>51</v>
      </c>
      <c r="C643" s="1">
        <v>44769</v>
      </c>
      <c r="D643" t="s">
        <v>59</v>
      </c>
      <c r="E643" t="s">
        <v>66</v>
      </c>
      <c r="F643">
        <v>72</v>
      </c>
      <c r="G643" t="s">
        <v>1</v>
      </c>
      <c r="H643" s="2">
        <v>11</v>
      </c>
      <c r="I643" s="16">
        <f ca="1">RAND()</f>
        <v>0.99885596734350279</v>
      </c>
    </row>
    <row r="644" spans="1:9" x14ac:dyDescent="0.3">
      <c r="A644" t="s">
        <v>667</v>
      </c>
      <c r="B644" t="s">
        <v>52</v>
      </c>
      <c r="C644" s="1">
        <v>44770</v>
      </c>
      <c r="D644" t="s">
        <v>60</v>
      </c>
      <c r="E644" t="s">
        <v>67</v>
      </c>
      <c r="F644">
        <v>65</v>
      </c>
      <c r="G644" t="s">
        <v>2</v>
      </c>
      <c r="H644" s="2">
        <v>13</v>
      </c>
      <c r="I644" s="16">
        <f ca="1">RAND()</f>
        <v>0.39824307851408958</v>
      </c>
    </row>
    <row r="645" spans="1:9" x14ac:dyDescent="0.3">
      <c r="A645" t="s">
        <v>668</v>
      </c>
      <c r="B645" t="s">
        <v>53</v>
      </c>
      <c r="C645" s="1">
        <v>44797</v>
      </c>
      <c r="D645" t="s">
        <v>61</v>
      </c>
      <c r="E645" t="s">
        <v>66</v>
      </c>
      <c r="F645">
        <v>250</v>
      </c>
      <c r="G645" t="s">
        <v>0</v>
      </c>
      <c r="H645" s="2">
        <v>3</v>
      </c>
      <c r="I645" s="16">
        <f ca="1">RAND()</f>
        <v>0.42473839039158257</v>
      </c>
    </row>
    <row r="646" spans="1:9" x14ac:dyDescent="0.3">
      <c r="A646" t="s">
        <v>669</v>
      </c>
      <c r="B646" t="s">
        <v>54</v>
      </c>
      <c r="C646" s="1">
        <v>44783</v>
      </c>
      <c r="D646" t="s">
        <v>62</v>
      </c>
      <c r="E646" t="s">
        <v>67</v>
      </c>
      <c r="F646">
        <v>130</v>
      </c>
      <c r="G646" t="s">
        <v>1</v>
      </c>
      <c r="H646" s="2">
        <v>3</v>
      </c>
      <c r="I646" s="16">
        <f ca="1">RAND()</f>
        <v>0.22853196555883348</v>
      </c>
    </row>
    <row r="647" spans="1:9" x14ac:dyDescent="0.3">
      <c r="A647" t="s">
        <v>670</v>
      </c>
      <c r="B647" t="s">
        <v>55</v>
      </c>
      <c r="C647" s="1">
        <v>44801</v>
      </c>
      <c r="D647" t="s">
        <v>63</v>
      </c>
      <c r="E647" t="s">
        <v>66</v>
      </c>
      <c r="F647">
        <v>60</v>
      </c>
      <c r="G647" t="s">
        <v>2</v>
      </c>
      <c r="H647" s="2">
        <v>6</v>
      </c>
      <c r="I647" s="16">
        <f ca="1">RAND()</f>
        <v>0.68486773018466895</v>
      </c>
    </row>
    <row r="648" spans="1:9" x14ac:dyDescent="0.3">
      <c r="A648" t="s">
        <v>671</v>
      </c>
      <c r="B648" t="s">
        <v>51</v>
      </c>
      <c r="C648" s="1">
        <v>44808</v>
      </c>
      <c r="D648" t="s">
        <v>59</v>
      </c>
      <c r="E648" t="s">
        <v>67</v>
      </c>
      <c r="F648">
        <v>72</v>
      </c>
      <c r="G648" t="s">
        <v>0</v>
      </c>
      <c r="H648" s="2">
        <v>6</v>
      </c>
      <c r="I648" s="16">
        <f ca="1">RAND()</f>
        <v>0.66201535759657315</v>
      </c>
    </row>
    <row r="649" spans="1:9" x14ac:dyDescent="0.3">
      <c r="A649" t="s">
        <v>672</v>
      </c>
      <c r="B649" t="s">
        <v>52</v>
      </c>
      <c r="C649" s="1">
        <v>44808</v>
      </c>
      <c r="D649" t="s">
        <v>60</v>
      </c>
      <c r="E649" t="s">
        <v>66</v>
      </c>
      <c r="F649">
        <v>65</v>
      </c>
      <c r="G649" t="s">
        <v>1</v>
      </c>
      <c r="H649" s="2">
        <v>5</v>
      </c>
      <c r="I649" s="16">
        <f ca="1">RAND()</f>
        <v>1.2567875199743339E-2</v>
      </c>
    </row>
    <row r="650" spans="1:9" x14ac:dyDescent="0.3">
      <c r="A650" t="s">
        <v>673</v>
      </c>
      <c r="B650" t="s">
        <v>53</v>
      </c>
      <c r="C650" s="1">
        <v>44781</v>
      </c>
      <c r="D650" t="s">
        <v>61</v>
      </c>
      <c r="E650" t="s">
        <v>67</v>
      </c>
      <c r="F650">
        <v>250</v>
      </c>
      <c r="G650" t="s">
        <v>2</v>
      </c>
      <c r="H650" s="2">
        <v>3</v>
      </c>
      <c r="I650" s="16">
        <f ca="1">RAND()</f>
        <v>0.26204605131236591</v>
      </c>
    </row>
    <row r="651" spans="1:9" x14ac:dyDescent="0.3">
      <c r="A651" t="s">
        <v>674</v>
      </c>
      <c r="B651" t="s">
        <v>54</v>
      </c>
      <c r="C651" s="1">
        <v>44783</v>
      </c>
      <c r="D651" t="s">
        <v>62</v>
      </c>
      <c r="E651" t="s">
        <v>66</v>
      </c>
      <c r="F651">
        <v>130</v>
      </c>
      <c r="G651" t="s">
        <v>0</v>
      </c>
      <c r="H651" s="2">
        <v>6</v>
      </c>
      <c r="I651" s="16">
        <f ca="1">RAND()</f>
        <v>0.34697754373077161</v>
      </c>
    </row>
    <row r="652" spans="1:9" x14ac:dyDescent="0.3">
      <c r="A652" t="s">
        <v>675</v>
      </c>
      <c r="B652" t="s">
        <v>51</v>
      </c>
      <c r="C652" s="1">
        <v>44762</v>
      </c>
      <c r="D652" t="s">
        <v>59</v>
      </c>
      <c r="E652" t="s">
        <v>67</v>
      </c>
      <c r="F652">
        <v>72</v>
      </c>
      <c r="G652" t="s">
        <v>1</v>
      </c>
      <c r="H652" s="2">
        <v>5</v>
      </c>
      <c r="I652" s="16">
        <f ca="1">RAND()</f>
        <v>6.8004165571127317E-2</v>
      </c>
    </row>
    <row r="653" spans="1:9" x14ac:dyDescent="0.3">
      <c r="A653" t="s">
        <v>676</v>
      </c>
      <c r="B653" t="s">
        <v>52</v>
      </c>
      <c r="C653" s="1">
        <v>44800</v>
      </c>
      <c r="D653" t="s">
        <v>60</v>
      </c>
      <c r="E653" t="s">
        <v>66</v>
      </c>
      <c r="F653">
        <v>65</v>
      </c>
      <c r="G653" t="s">
        <v>2</v>
      </c>
      <c r="H653" s="2">
        <v>10</v>
      </c>
      <c r="I653" s="16">
        <f ca="1">RAND()</f>
        <v>4.1674699424693262E-2</v>
      </c>
    </row>
    <row r="654" spans="1:9" x14ac:dyDescent="0.3">
      <c r="A654" t="s">
        <v>677</v>
      </c>
      <c r="B654" t="s">
        <v>53</v>
      </c>
      <c r="C654" s="1">
        <v>44799</v>
      </c>
      <c r="D654" t="s">
        <v>61</v>
      </c>
      <c r="E654" t="s">
        <v>67</v>
      </c>
      <c r="F654">
        <v>250</v>
      </c>
      <c r="G654" t="s">
        <v>0</v>
      </c>
      <c r="H654" s="2">
        <v>2</v>
      </c>
      <c r="I654" s="16">
        <f ca="1">RAND()</f>
        <v>0.79225145883269177</v>
      </c>
    </row>
    <row r="655" spans="1:9" x14ac:dyDescent="0.3">
      <c r="A655" t="s">
        <v>678</v>
      </c>
      <c r="B655" t="s">
        <v>54</v>
      </c>
      <c r="C655" s="1">
        <v>44777</v>
      </c>
      <c r="D655" t="s">
        <v>62</v>
      </c>
      <c r="E655" t="s">
        <v>66</v>
      </c>
      <c r="F655">
        <v>130</v>
      </c>
      <c r="G655" t="s">
        <v>1</v>
      </c>
      <c r="H655" s="2">
        <v>2</v>
      </c>
      <c r="I655" s="16">
        <f ca="1">RAND()</f>
        <v>0.27867856518257461</v>
      </c>
    </row>
    <row r="656" spans="1:9" x14ac:dyDescent="0.3">
      <c r="A656" t="s">
        <v>679</v>
      </c>
      <c r="B656" t="s">
        <v>55</v>
      </c>
      <c r="C656" s="1">
        <v>44800</v>
      </c>
      <c r="D656" t="s">
        <v>63</v>
      </c>
      <c r="E656" t="s">
        <v>66</v>
      </c>
      <c r="F656">
        <v>60</v>
      </c>
      <c r="G656" t="s">
        <v>2</v>
      </c>
      <c r="H656" s="2">
        <v>10</v>
      </c>
      <c r="I656" s="16">
        <f ca="1">RAND()</f>
        <v>0.82893574733747144</v>
      </c>
    </row>
    <row r="657" spans="1:9" x14ac:dyDescent="0.3">
      <c r="A657" t="s">
        <v>680</v>
      </c>
      <c r="B657" t="s">
        <v>56</v>
      </c>
      <c r="C657" s="1">
        <v>44770</v>
      </c>
      <c r="D657" t="s">
        <v>64</v>
      </c>
      <c r="E657" t="s">
        <v>67</v>
      </c>
      <c r="F657">
        <v>95</v>
      </c>
      <c r="G657" t="s">
        <v>0</v>
      </c>
      <c r="H657" s="2">
        <v>3</v>
      </c>
      <c r="I657" s="16">
        <f ca="1">RAND()</f>
        <v>1.325962957270399E-2</v>
      </c>
    </row>
    <row r="658" spans="1:9" x14ac:dyDescent="0.3">
      <c r="A658" t="s">
        <v>681</v>
      </c>
      <c r="B658" t="s">
        <v>51</v>
      </c>
      <c r="C658" s="1">
        <v>44774</v>
      </c>
      <c r="D658" t="s">
        <v>59</v>
      </c>
      <c r="E658" t="s">
        <v>67</v>
      </c>
      <c r="F658">
        <v>72</v>
      </c>
      <c r="G658" t="s">
        <v>1</v>
      </c>
      <c r="H658" s="2">
        <v>6</v>
      </c>
      <c r="I658" s="16">
        <f ca="1">RAND()</f>
        <v>0.29409334944539789</v>
      </c>
    </row>
    <row r="659" spans="1:9" x14ac:dyDescent="0.3">
      <c r="A659" t="s">
        <v>682</v>
      </c>
      <c r="B659" t="s">
        <v>52</v>
      </c>
      <c r="C659" s="1">
        <v>44779</v>
      </c>
      <c r="D659" t="s">
        <v>60</v>
      </c>
      <c r="E659" t="s">
        <v>67</v>
      </c>
      <c r="F659">
        <v>65</v>
      </c>
      <c r="G659" t="s">
        <v>2</v>
      </c>
      <c r="H659" s="2">
        <v>8</v>
      </c>
      <c r="I659" s="16">
        <f ca="1">RAND()</f>
        <v>0.39459048786153861</v>
      </c>
    </row>
    <row r="660" spans="1:9" x14ac:dyDescent="0.3">
      <c r="A660" t="s">
        <v>683</v>
      </c>
      <c r="B660" t="s">
        <v>53</v>
      </c>
      <c r="C660" s="1">
        <v>44796</v>
      </c>
      <c r="D660" t="s">
        <v>61</v>
      </c>
      <c r="E660" t="s">
        <v>66</v>
      </c>
      <c r="F660">
        <v>250</v>
      </c>
      <c r="G660" t="s">
        <v>0</v>
      </c>
      <c r="H660" s="2">
        <v>2</v>
      </c>
      <c r="I660" s="16">
        <f ca="1">RAND()</f>
        <v>0.3002604412903368</v>
      </c>
    </row>
    <row r="661" spans="1:9" x14ac:dyDescent="0.3">
      <c r="A661" t="s">
        <v>684</v>
      </c>
      <c r="B661" t="s">
        <v>54</v>
      </c>
      <c r="C661" s="1">
        <v>44772</v>
      </c>
      <c r="D661" t="s">
        <v>62</v>
      </c>
      <c r="E661" t="s">
        <v>66</v>
      </c>
      <c r="F661">
        <v>130</v>
      </c>
      <c r="G661" t="s">
        <v>1</v>
      </c>
      <c r="H661" s="2">
        <v>2</v>
      </c>
      <c r="I661" s="16">
        <f ca="1">RAND()</f>
        <v>0.64279389552125654</v>
      </c>
    </row>
    <row r="662" spans="1:9" x14ac:dyDescent="0.3">
      <c r="A662" t="s">
        <v>685</v>
      </c>
      <c r="B662" t="s">
        <v>51</v>
      </c>
      <c r="C662" s="1">
        <v>44809</v>
      </c>
      <c r="D662" t="s">
        <v>59</v>
      </c>
      <c r="E662" t="s">
        <v>66</v>
      </c>
      <c r="F662">
        <v>72</v>
      </c>
      <c r="G662" t="s">
        <v>2</v>
      </c>
      <c r="H662" s="2">
        <v>9</v>
      </c>
      <c r="I662" s="16">
        <f ca="1">RAND()</f>
        <v>0.40511682049553188</v>
      </c>
    </row>
    <row r="663" spans="1:9" x14ac:dyDescent="0.3">
      <c r="A663" t="s">
        <v>686</v>
      </c>
      <c r="B663" t="s">
        <v>52</v>
      </c>
      <c r="C663" s="1">
        <v>44757</v>
      </c>
      <c r="D663" t="s">
        <v>60</v>
      </c>
      <c r="E663" t="s">
        <v>66</v>
      </c>
      <c r="F663">
        <v>65</v>
      </c>
      <c r="G663" t="s">
        <v>0</v>
      </c>
      <c r="H663" s="2">
        <v>4</v>
      </c>
      <c r="I663" s="16">
        <f ca="1">RAND()</f>
        <v>0.19572949552202201</v>
      </c>
    </row>
    <row r="664" spans="1:9" x14ac:dyDescent="0.3">
      <c r="A664" t="s">
        <v>687</v>
      </c>
      <c r="B664" t="s">
        <v>53</v>
      </c>
      <c r="C664" s="1">
        <v>44782</v>
      </c>
      <c r="D664" t="s">
        <v>61</v>
      </c>
      <c r="E664" t="s">
        <v>66</v>
      </c>
      <c r="F664">
        <v>250</v>
      </c>
      <c r="G664" t="s">
        <v>1</v>
      </c>
      <c r="H664" s="2">
        <v>1</v>
      </c>
      <c r="I664" s="16">
        <f ca="1">RAND()</f>
        <v>0.82067174257079401</v>
      </c>
    </row>
    <row r="665" spans="1:9" x14ac:dyDescent="0.3">
      <c r="A665" t="s">
        <v>688</v>
      </c>
      <c r="B665" t="s">
        <v>54</v>
      </c>
      <c r="C665" s="1">
        <v>44809</v>
      </c>
      <c r="D665" t="s">
        <v>62</v>
      </c>
      <c r="E665" t="s">
        <v>66</v>
      </c>
      <c r="F665">
        <v>130</v>
      </c>
      <c r="G665" t="s">
        <v>2</v>
      </c>
      <c r="H665" s="2">
        <v>5</v>
      </c>
      <c r="I665" s="16">
        <f ca="1">RAND()</f>
        <v>0.52092960627470497</v>
      </c>
    </row>
    <row r="666" spans="1:9" x14ac:dyDescent="0.3">
      <c r="A666" t="s">
        <v>689</v>
      </c>
      <c r="B666" t="s">
        <v>55</v>
      </c>
      <c r="C666" s="1">
        <v>44795</v>
      </c>
      <c r="D666" t="s">
        <v>63</v>
      </c>
      <c r="E666" t="s">
        <v>66</v>
      </c>
      <c r="F666">
        <v>60</v>
      </c>
      <c r="G666" t="s">
        <v>0</v>
      </c>
      <c r="H666" s="2">
        <v>12</v>
      </c>
      <c r="I666" s="16">
        <f ca="1">RAND()</f>
        <v>0.82955003477058009</v>
      </c>
    </row>
    <row r="667" spans="1:9" x14ac:dyDescent="0.3">
      <c r="A667" t="s">
        <v>690</v>
      </c>
      <c r="B667" t="s">
        <v>51</v>
      </c>
      <c r="C667" s="1">
        <v>44801</v>
      </c>
      <c r="D667" t="s">
        <v>59</v>
      </c>
      <c r="E667" t="s">
        <v>66</v>
      </c>
      <c r="F667">
        <v>72</v>
      </c>
      <c r="G667" t="s">
        <v>1</v>
      </c>
      <c r="H667" s="2">
        <v>6</v>
      </c>
      <c r="I667" s="16">
        <f ca="1">RAND()</f>
        <v>1.8889914659350637E-2</v>
      </c>
    </row>
    <row r="668" spans="1:9" x14ac:dyDescent="0.3">
      <c r="A668" t="s">
        <v>691</v>
      </c>
      <c r="B668" t="s">
        <v>52</v>
      </c>
      <c r="C668" s="1">
        <v>44770</v>
      </c>
      <c r="D668" t="s">
        <v>60</v>
      </c>
      <c r="E668" t="s">
        <v>66</v>
      </c>
      <c r="F668">
        <v>65</v>
      </c>
      <c r="G668" t="s">
        <v>2</v>
      </c>
      <c r="H668" s="2">
        <v>6</v>
      </c>
      <c r="I668" s="16">
        <f ca="1">RAND()</f>
        <v>0.83139934496200885</v>
      </c>
    </row>
    <row r="669" spans="1:9" x14ac:dyDescent="0.3">
      <c r="A669" t="s">
        <v>692</v>
      </c>
      <c r="B669" t="s">
        <v>53</v>
      </c>
      <c r="C669" s="1">
        <v>44764</v>
      </c>
      <c r="D669" t="s">
        <v>61</v>
      </c>
      <c r="E669" t="s">
        <v>67</v>
      </c>
      <c r="F669">
        <v>250</v>
      </c>
      <c r="G669" t="s">
        <v>0</v>
      </c>
      <c r="H669" s="2">
        <v>2</v>
      </c>
      <c r="I669" s="16">
        <f ca="1">RAND()</f>
        <v>0.14814590564662555</v>
      </c>
    </row>
    <row r="670" spans="1:9" x14ac:dyDescent="0.3">
      <c r="A670" t="s">
        <v>693</v>
      </c>
      <c r="B670" t="s">
        <v>54</v>
      </c>
      <c r="C670" s="1">
        <v>44776</v>
      </c>
      <c r="D670" t="s">
        <v>62</v>
      </c>
      <c r="E670" t="s">
        <v>66</v>
      </c>
      <c r="F670">
        <v>130</v>
      </c>
      <c r="G670" t="s">
        <v>1</v>
      </c>
      <c r="H670" s="2">
        <v>4</v>
      </c>
      <c r="I670" s="16">
        <f ca="1">RAND()</f>
        <v>0.18020809845242103</v>
      </c>
    </row>
    <row r="671" spans="1:9" x14ac:dyDescent="0.3">
      <c r="A671" t="s">
        <v>694</v>
      </c>
      <c r="B671" t="s">
        <v>51</v>
      </c>
      <c r="C671" s="1">
        <v>44771</v>
      </c>
      <c r="D671" t="s">
        <v>59</v>
      </c>
      <c r="E671" t="s">
        <v>66</v>
      </c>
      <c r="F671">
        <v>72</v>
      </c>
      <c r="G671" t="s">
        <v>2</v>
      </c>
      <c r="H671" s="2">
        <v>10</v>
      </c>
      <c r="I671" s="16">
        <f ca="1">RAND()</f>
        <v>0.93829057871595223</v>
      </c>
    </row>
    <row r="672" spans="1:9" x14ac:dyDescent="0.3">
      <c r="A672" t="s">
        <v>695</v>
      </c>
      <c r="B672" t="s">
        <v>52</v>
      </c>
      <c r="C672" s="1">
        <v>44794</v>
      </c>
      <c r="D672" t="s">
        <v>60</v>
      </c>
      <c r="E672" t="s">
        <v>66</v>
      </c>
      <c r="F672">
        <v>65</v>
      </c>
      <c r="G672" t="s">
        <v>0</v>
      </c>
      <c r="H672" s="2">
        <v>8</v>
      </c>
      <c r="I672" s="16">
        <f ca="1">RAND()</f>
        <v>0.64516727045249789</v>
      </c>
    </row>
    <row r="673" spans="1:9" x14ac:dyDescent="0.3">
      <c r="A673" t="s">
        <v>696</v>
      </c>
      <c r="B673" t="s">
        <v>53</v>
      </c>
      <c r="C673" s="1">
        <v>44792</v>
      </c>
      <c r="D673" t="s">
        <v>61</v>
      </c>
      <c r="E673" t="s">
        <v>66</v>
      </c>
      <c r="F673">
        <v>250</v>
      </c>
      <c r="G673" t="s">
        <v>1</v>
      </c>
      <c r="H673" s="2">
        <v>2</v>
      </c>
      <c r="I673" s="16">
        <f ca="1">RAND()</f>
        <v>9.5840140234351057E-2</v>
      </c>
    </row>
    <row r="674" spans="1:9" x14ac:dyDescent="0.3">
      <c r="A674" t="s">
        <v>697</v>
      </c>
      <c r="B674" t="s">
        <v>54</v>
      </c>
      <c r="C674" s="1">
        <v>44792</v>
      </c>
      <c r="D674" t="s">
        <v>62</v>
      </c>
      <c r="E674" t="s">
        <v>66</v>
      </c>
      <c r="F674">
        <v>130</v>
      </c>
      <c r="G674" t="s">
        <v>2</v>
      </c>
      <c r="H674" s="2">
        <v>2</v>
      </c>
      <c r="I674" s="16">
        <f ca="1">RAND()</f>
        <v>0.16731223428140451</v>
      </c>
    </row>
    <row r="675" spans="1:9" x14ac:dyDescent="0.3">
      <c r="A675" t="s">
        <v>698</v>
      </c>
      <c r="B675" t="s">
        <v>55</v>
      </c>
      <c r="C675" s="1">
        <v>44790</v>
      </c>
      <c r="D675" t="s">
        <v>63</v>
      </c>
      <c r="E675" t="s">
        <v>67</v>
      </c>
      <c r="F675">
        <v>60</v>
      </c>
      <c r="G675" t="s">
        <v>0</v>
      </c>
      <c r="H675" s="2">
        <v>14</v>
      </c>
      <c r="I675" s="16">
        <f ca="1">RAND()</f>
        <v>0.18087032004375558</v>
      </c>
    </row>
    <row r="676" spans="1:9" x14ac:dyDescent="0.3">
      <c r="A676" t="s">
        <v>699</v>
      </c>
      <c r="B676" t="s">
        <v>56</v>
      </c>
      <c r="C676" s="1">
        <v>44809</v>
      </c>
      <c r="D676" t="s">
        <v>64</v>
      </c>
      <c r="E676" t="s">
        <v>66</v>
      </c>
      <c r="F676">
        <v>95</v>
      </c>
      <c r="G676" t="s">
        <v>1</v>
      </c>
      <c r="H676" s="2">
        <v>3</v>
      </c>
      <c r="I676" s="16">
        <f ca="1">RAND()</f>
        <v>0.90482597551688071</v>
      </c>
    </row>
    <row r="677" spans="1:9" x14ac:dyDescent="0.3">
      <c r="A677" t="s">
        <v>700</v>
      </c>
      <c r="B677" t="s">
        <v>51</v>
      </c>
      <c r="C677" s="1">
        <v>44772</v>
      </c>
      <c r="D677" t="s">
        <v>59</v>
      </c>
      <c r="E677" t="s">
        <v>66</v>
      </c>
      <c r="F677">
        <v>72</v>
      </c>
      <c r="G677" t="s">
        <v>2</v>
      </c>
      <c r="H677" s="2">
        <v>6</v>
      </c>
      <c r="I677" s="16">
        <f ca="1">RAND()</f>
        <v>0.8819818773348016</v>
      </c>
    </row>
    <row r="678" spans="1:9" x14ac:dyDescent="0.3">
      <c r="A678" t="s">
        <v>701</v>
      </c>
      <c r="B678" t="s">
        <v>52</v>
      </c>
      <c r="C678" s="1">
        <v>44802</v>
      </c>
      <c r="D678" t="s">
        <v>60</v>
      </c>
      <c r="E678" t="s">
        <v>66</v>
      </c>
      <c r="F678">
        <v>65</v>
      </c>
      <c r="G678" t="s">
        <v>0</v>
      </c>
      <c r="H678" s="2">
        <v>12</v>
      </c>
      <c r="I678" s="16">
        <f ca="1">RAND()</f>
        <v>0.13379340789107941</v>
      </c>
    </row>
    <row r="679" spans="1:9" x14ac:dyDescent="0.3">
      <c r="A679" t="s">
        <v>702</v>
      </c>
      <c r="B679" t="s">
        <v>53</v>
      </c>
      <c r="C679" s="1">
        <v>44809</v>
      </c>
      <c r="D679" t="s">
        <v>61</v>
      </c>
      <c r="E679" t="s">
        <v>67</v>
      </c>
      <c r="F679">
        <v>250</v>
      </c>
      <c r="G679" t="s">
        <v>1</v>
      </c>
      <c r="H679" s="2">
        <v>2</v>
      </c>
      <c r="I679" s="16">
        <f ca="1">RAND()</f>
        <v>0.59583328022748094</v>
      </c>
    </row>
    <row r="680" spans="1:9" x14ac:dyDescent="0.3">
      <c r="A680" t="s">
        <v>703</v>
      </c>
      <c r="B680" t="s">
        <v>54</v>
      </c>
      <c r="C680" s="1">
        <v>44793</v>
      </c>
      <c r="D680" t="s">
        <v>62</v>
      </c>
      <c r="E680" t="s">
        <v>67</v>
      </c>
      <c r="F680">
        <v>130</v>
      </c>
      <c r="G680" t="s">
        <v>2</v>
      </c>
      <c r="H680" s="2">
        <v>2</v>
      </c>
      <c r="I680" s="16">
        <f ca="1">RAND()</f>
        <v>0.8499686230908029</v>
      </c>
    </row>
    <row r="681" spans="1:9" x14ac:dyDescent="0.3">
      <c r="A681" t="s">
        <v>704</v>
      </c>
      <c r="B681" t="s">
        <v>51</v>
      </c>
      <c r="C681" s="1">
        <v>44802</v>
      </c>
      <c r="D681" t="s">
        <v>59</v>
      </c>
      <c r="E681" t="s">
        <v>67</v>
      </c>
      <c r="F681">
        <v>72</v>
      </c>
      <c r="G681" t="s">
        <v>0</v>
      </c>
      <c r="H681" s="2">
        <v>8</v>
      </c>
      <c r="I681" s="16">
        <f ca="1">RAND()</f>
        <v>0.40711353787530014</v>
      </c>
    </row>
    <row r="682" spans="1:9" x14ac:dyDescent="0.3">
      <c r="A682" t="s">
        <v>705</v>
      </c>
      <c r="B682" t="s">
        <v>52</v>
      </c>
      <c r="C682" s="1">
        <v>44766</v>
      </c>
      <c r="D682" t="s">
        <v>60</v>
      </c>
      <c r="E682" t="s">
        <v>67</v>
      </c>
      <c r="F682">
        <v>65</v>
      </c>
      <c r="G682" t="s">
        <v>1</v>
      </c>
      <c r="H682" s="2">
        <v>10</v>
      </c>
      <c r="I682" s="16">
        <f ca="1">RAND()</f>
        <v>0.28491602008817296</v>
      </c>
    </row>
    <row r="683" spans="1:9" x14ac:dyDescent="0.3">
      <c r="A683" t="s">
        <v>706</v>
      </c>
      <c r="B683" t="s">
        <v>53</v>
      </c>
      <c r="C683" s="1">
        <v>44807</v>
      </c>
      <c r="D683" t="s">
        <v>61</v>
      </c>
      <c r="E683" t="s">
        <v>67</v>
      </c>
      <c r="F683">
        <v>250</v>
      </c>
      <c r="G683" t="s">
        <v>2</v>
      </c>
      <c r="H683" s="2">
        <v>3</v>
      </c>
      <c r="I683" s="16">
        <f ca="1">RAND()</f>
        <v>0.5297398107243988</v>
      </c>
    </row>
    <row r="684" spans="1:9" x14ac:dyDescent="0.3">
      <c r="A684" t="s">
        <v>707</v>
      </c>
      <c r="B684" t="s">
        <v>54</v>
      </c>
      <c r="C684" s="1">
        <v>44784</v>
      </c>
      <c r="D684" t="s">
        <v>62</v>
      </c>
      <c r="E684" t="s">
        <v>67</v>
      </c>
      <c r="F684">
        <v>130</v>
      </c>
      <c r="G684" t="s">
        <v>0</v>
      </c>
      <c r="H684" s="2">
        <v>7</v>
      </c>
      <c r="I684" s="16">
        <f ca="1">RAND()</f>
        <v>0.63798458968946603</v>
      </c>
    </row>
    <row r="685" spans="1:9" x14ac:dyDescent="0.3">
      <c r="A685" t="s">
        <v>708</v>
      </c>
      <c r="B685" t="s">
        <v>51</v>
      </c>
      <c r="C685" s="1">
        <v>44763</v>
      </c>
      <c r="D685" t="s">
        <v>59</v>
      </c>
      <c r="E685" t="s">
        <v>66</v>
      </c>
      <c r="F685">
        <v>72</v>
      </c>
      <c r="G685" t="s">
        <v>0</v>
      </c>
      <c r="H685" s="2">
        <v>10</v>
      </c>
      <c r="I685" s="16">
        <f ca="1">RAND()</f>
        <v>0.87831642993806236</v>
      </c>
    </row>
    <row r="686" spans="1:9" x14ac:dyDescent="0.3">
      <c r="A686" t="s">
        <v>709</v>
      </c>
      <c r="B686" t="s">
        <v>52</v>
      </c>
      <c r="C686" s="1">
        <v>44799</v>
      </c>
      <c r="D686" t="s">
        <v>60</v>
      </c>
      <c r="E686" t="s">
        <v>67</v>
      </c>
      <c r="F686">
        <v>65</v>
      </c>
      <c r="G686" t="s">
        <v>1</v>
      </c>
      <c r="H686" s="2">
        <v>13</v>
      </c>
      <c r="I686" s="16">
        <f ca="1">RAND()</f>
        <v>0.64164757793347726</v>
      </c>
    </row>
    <row r="687" spans="1:9" x14ac:dyDescent="0.3">
      <c r="A687" t="s">
        <v>710</v>
      </c>
      <c r="B687" t="s">
        <v>53</v>
      </c>
      <c r="C687" s="1">
        <v>44808</v>
      </c>
      <c r="D687" t="s">
        <v>61</v>
      </c>
      <c r="E687" t="s">
        <v>66</v>
      </c>
      <c r="F687">
        <v>250</v>
      </c>
      <c r="G687" t="s">
        <v>2</v>
      </c>
      <c r="H687" s="2">
        <v>1</v>
      </c>
      <c r="I687" s="16">
        <f ca="1">RAND()</f>
        <v>0.72374562872410075</v>
      </c>
    </row>
    <row r="688" spans="1:9" x14ac:dyDescent="0.3">
      <c r="A688" t="s">
        <v>711</v>
      </c>
      <c r="B688" t="s">
        <v>54</v>
      </c>
      <c r="C688" s="1">
        <v>44786</v>
      </c>
      <c r="D688" t="s">
        <v>62</v>
      </c>
      <c r="E688" t="s">
        <v>67</v>
      </c>
      <c r="F688">
        <v>130</v>
      </c>
      <c r="G688" t="s">
        <v>0</v>
      </c>
      <c r="H688" s="2">
        <v>2</v>
      </c>
      <c r="I688" s="16">
        <f ca="1">RAND()</f>
        <v>0.88632295609058032</v>
      </c>
    </row>
    <row r="689" spans="1:9" x14ac:dyDescent="0.3">
      <c r="A689" t="s">
        <v>712</v>
      </c>
      <c r="B689" t="s">
        <v>51</v>
      </c>
      <c r="C689" s="1">
        <v>44770</v>
      </c>
      <c r="D689" t="s">
        <v>59</v>
      </c>
      <c r="E689" t="s">
        <v>66</v>
      </c>
      <c r="F689">
        <v>72</v>
      </c>
      <c r="G689" t="s">
        <v>1</v>
      </c>
      <c r="H689" s="2">
        <v>10</v>
      </c>
      <c r="I689" s="16">
        <f ca="1">RAND()</f>
        <v>0.58412975951309187</v>
      </c>
    </row>
    <row r="690" spans="1:9" x14ac:dyDescent="0.3">
      <c r="A690" t="s">
        <v>713</v>
      </c>
      <c r="B690" t="s">
        <v>52</v>
      </c>
      <c r="C690" s="1">
        <v>44777</v>
      </c>
      <c r="D690" t="s">
        <v>60</v>
      </c>
      <c r="E690" t="s">
        <v>67</v>
      </c>
      <c r="F690">
        <v>65</v>
      </c>
      <c r="G690" t="s">
        <v>2</v>
      </c>
      <c r="H690" s="2">
        <v>4</v>
      </c>
      <c r="I690" s="16">
        <f ca="1">RAND()</f>
        <v>0.70918589486367523</v>
      </c>
    </row>
    <row r="691" spans="1:9" x14ac:dyDescent="0.3">
      <c r="A691" t="s">
        <v>714</v>
      </c>
      <c r="B691" t="s">
        <v>53</v>
      </c>
      <c r="C691" s="1">
        <v>44780</v>
      </c>
      <c r="D691" t="s">
        <v>61</v>
      </c>
      <c r="E691" t="s">
        <v>66</v>
      </c>
      <c r="F691">
        <v>250</v>
      </c>
      <c r="G691" t="s">
        <v>0</v>
      </c>
      <c r="H691" s="2">
        <v>3</v>
      </c>
      <c r="I691" s="16">
        <f ca="1">RAND()</f>
        <v>0.15019262807387335</v>
      </c>
    </row>
    <row r="692" spans="1:9" x14ac:dyDescent="0.3">
      <c r="A692" t="s">
        <v>715</v>
      </c>
      <c r="B692" t="s">
        <v>54</v>
      </c>
      <c r="C692" s="1">
        <v>44778</v>
      </c>
      <c r="D692" t="s">
        <v>62</v>
      </c>
      <c r="E692" t="s">
        <v>67</v>
      </c>
      <c r="F692">
        <v>130</v>
      </c>
      <c r="G692" t="s">
        <v>1</v>
      </c>
      <c r="H692" s="2">
        <v>4</v>
      </c>
      <c r="I692" s="16">
        <f ca="1">RAND()</f>
        <v>5.9165438043213725E-2</v>
      </c>
    </row>
    <row r="693" spans="1:9" x14ac:dyDescent="0.3">
      <c r="A693" t="s">
        <v>716</v>
      </c>
      <c r="B693" t="s">
        <v>55</v>
      </c>
      <c r="C693" s="1">
        <v>44774</v>
      </c>
      <c r="D693" t="s">
        <v>63</v>
      </c>
      <c r="E693" t="s">
        <v>66</v>
      </c>
      <c r="F693">
        <v>60</v>
      </c>
      <c r="G693" t="s">
        <v>2</v>
      </c>
      <c r="H693" s="2">
        <v>13</v>
      </c>
      <c r="I693" s="16">
        <f ca="1">RAND()</f>
        <v>0.65854126960952941</v>
      </c>
    </row>
    <row r="694" spans="1:9" x14ac:dyDescent="0.3">
      <c r="A694" t="s">
        <v>717</v>
      </c>
      <c r="B694" t="s">
        <v>51</v>
      </c>
      <c r="C694" s="1">
        <v>44760</v>
      </c>
      <c r="D694" t="s">
        <v>59</v>
      </c>
      <c r="E694" t="s">
        <v>67</v>
      </c>
      <c r="F694">
        <v>72</v>
      </c>
      <c r="G694" t="s">
        <v>0</v>
      </c>
      <c r="H694" s="2">
        <v>3</v>
      </c>
      <c r="I694" s="16">
        <f ca="1">RAND()</f>
        <v>0.65748970264515005</v>
      </c>
    </row>
    <row r="695" spans="1:9" x14ac:dyDescent="0.3">
      <c r="A695" t="s">
        <v>718</v>
      </c>
      <c r="B695" t="s">
        <v>52</v>
      </c>
      <c r="C695" s="1">
        <v>44756</v>
      </c>
      <c r="D695" t="s">
        <v>60</v>
      </c>
      <c r="E695" t="s">
        <v>66</v>
      </c>
      <c r="F695">
        <v>65</v>
      </c>
      <c r="G695" t="s">
        <v>1</v>
      </c>
      <c r="H695" s="2">
        <v>9</v>
      </c>
      <c r="I695" s="16">
        <f ca="1">RAND()</f>
        <v>0.87326307763617272</v>
      </c>
    </row>
    <row r="696" spans="1:9" x14ac:dyDescent="0.3">
      <c r="A696" t="s">
        <v>719</v>
      </c>
      <c r="B696" t="s">
        <v>53</v>
      </c>
      <c r="C696" s="1">
        <v>44755</v>
      </c>
      <c r="D696" t="s">
        <v>61</v>
      </c>
      <c r="E696" t="s">
        <v>67</v>
      </c>
      <c r="F696">
        <v>250</v>
      </c>
      <c r="G696" t="s">
        <v>2</v>
      </c>
      <c r="H696" s="2">
        <v>3</v>
      </c>
      <c r="I696" s="16">
        <f ca="1">RAND()</f>
        <v>0.37268309049368564</v>
      </c>
    </row>
    <row r="697" spans="1:9" x14ac:dyDescent="0.3">
      <c r="A697" t="s">
        <v>720</v>
      </c>
      <c r="B697" t="s">
        <v>54</v>
      </c>
      <c r="C697" s="1">
        <v>44770</v>
      </c>
      <c r="D697" t="s">
        <v>62</v>
      </c>
      <c r="E697" t="s">
        <v>66</v>
      </c>
      <c r="F697">
        <v>130</v>
      </c>
      <c r="G697" t="s">
        <v>0</v>
      </c>
      <c r="H697" s="2">
        <v>5</v>
      </c>
      <c r="I697" s="16">
        <f ca="1">RAND()</f>
        <v>0.53442617806762005</v>
      </c>
    </row>
    <row r="698" spans="1:9" x14ac:dyDescent="0.3">
      <c r="A698" t="s">
        <v>721</v>
      </c>
      <c r="B698" t="s">
        <v>51</v>
      </c>
      <c r="C698" s="1">
        <v>44755</v>
      </c>
      <c r="D698" t="s">
        <v>59</v>
      </c>
      <c r="E698" t="s">
        <v>67</v>
      </c>
      <c r="F698">
        <v>72</v>
      </c>
      <c r="G698" t="s">
        <v>1</v>
      </c>
      <c r="H698" s="2">
        <v>9</v>
      </c>
      <c r="I698" s="16">
        <f ca="1">RAND()</f>
        <v>0.79017104561666196</v>
      </c>
    </row>
    <row r="699" spans="1:9" x14ac:dyDescent="0.3">
      <c r="A699" t="s">
        <v>722</v>
      </c>
      <c r="B699" t="s">
        <v>52</v>
      </c>
      <c r="C699" s="1">
        <v>44775</v>
      </c>
      <c r="D699" t="s">
        <v>60</v>
      </c>
      <c r="E699" t="s">
        <v>66</v>
      </c>
      <c r="F699">
        <v>65</v>
      </c>
      <c r="G699" t="s">
        <v>2</v>
      </c>
      <c r="H699" s="2">
        <v>7</v>
      </c>
      <c r="I699" s="16">
        <f ca="1">RAND()</f>
        <v>0.41646904920020067</v>
      </c>
    </row>
    <row r="700" spans="1:9" x14ac:dyDescent="0.3">
      <c r="A700" t="s">
        <v>723</v>
      </c>
      <c r="B700" t="s">
        <v>53</v>
      </c>
      <c r="C700" s="1">
        <v>44797</v>
      </c>
      <c r="D700" t="s">
        <v>61</v>
      </c>
      <c r="E700" t="s">
        <v>67</v>
      </c>
      <c r="F700">
        <v>250</v>
      </c>
      <c r="G700" t="s">
        <v>0</v>
      </c>
      <c r="H700" s="2">
        <v>2</v>
      </c>
      <c r="I700" s="16">
        <f ca="1">RAND()</f>
        <v>0.92494847952860249</v>
      </c>
    </row>
    <row r="701" spans="1:9" x14ac:dyDescent="0.3">
      <c r="A701" t="s">
        <v>724</v>
      </c>
      <c r="B701" t="s">
        <v>54</v>
      </c>
      <c r="C701" s="1">
        <v>44802</v>
      </c>
      <c r="D701" t="s">
        <v>62</v>
      </c>
      <c r="E701" t="s">
        <v>66</v>
      </c>
      <c r="F701">
        <v>130</v>
      </c>
      <c r="G701" t="s">
        <v>1</v>
      </c>
      <c r="H701" s="2">
        <v>7</v>
      </c>
      <c r="I701" s="16">
        <f ca="1">RAND()</f>
        <v>0.10659114355373234</v>
      </c>
    </row>
    <row r="702" spans="1:9" x14ac:dyDescent="0.3">
      <c r="A702" t="s">
        <v>725</v>
      </c>
      <c r="B702" t="s">
        <v>55</v>
      </c>
      <c r="C702" s="1">
        <v>44764</v>
      </c>
      <c r="D702" t="s">
        <v>63</v>
      </c>
      <c r="E702" t="s">
        <v>66</v>
      </c>
      <c r="F702">
        <v>60</v>
      </c>
      <c r="G702" t="s">
        <v>2</v>
      </c>
      <c r="H702" s="2">
        <v>8</v>
      </c>
      <c r="I702" s="16">
        <f ca="1">RAND()</f>
        <v>0.45709164895803078</v>
      </c>
    </row>
    <row r="703" spans="1:9" x14ac:dyDescent="0.3">
      <c r="A703" t="s">
        <v>726</v>
      </c>
      <c r="B703" t="s">
        <v>56</v>
      </c>
      <c r="C703" s="1">
        <v>44780</v>
      </c>
      <c r="D703" t="s">
        <v>64</v>
      </c>
      <c r="E703" t="s">
        <v>67</v>
      </c>
      <c r="F703">
        <v>95</v>
      </c>
      <c r="G703" t="s">
        <v>0</v>
      </c>
      <c r="H703" s="2">
        <v>2</v>
      </c>
      <c r="I703" s="16">
        <f ca="1">RAND()</f>
        <v>0.73947371339552981</v>
      </c>
    </row>
    <row r="704" spans="1:9" x14ac:dyDescent="0.3">
      <c r="A704" t="s">
        <v>727</v>
      </c>
      <c r="B704" t="s">
        <v>51</v>
      </c>
      <c r="C704" s="1">
        <v>44799</v>
      </c>
      <c r="D704" t="s">
        <v>59</v>
      </c>
      <c r="E704" t="s">
        <v>67</v>
      </c>
      <c r="F704">
        <v>72</v>
      </c>
      <c r="G704" t="s">
        <v>1</v>
      </c>
      <c r="H704" s="2">
        <v>5</v>
      </c>
      <c r="I704" s="16">
        <f ca="1">RAND()</f>
        <v>0.11583859601252799</v>
      </c>
    </row>
    <row r="705" spans="1:9" x14ac:dyDescent="0.3">
      <c r="A705" t="s">
        <v>728</v>
      </c>
      <c r="B705" t="s">
        <v>52</v>
      </c>
      <c r="C705" s="1">
        <v>44761</v>
      </c>
      <c r="D705" t="s">
        <v>60</v>
      </c>
      <c r="E705" t="s">
        <v>67</v>
      </c>
      <c r="F705">
        <v>65</v>
      </c>
      <c r="G705" t="s">
        <v>2</v>
      </c>
      <c r="H705" s="2">
        <v>13</v>
      </c>
      <c r="I705" s="16">
        <f ca="1">RAND()</f>
        <v>0.78761449702944264</v>
      </c>
    </row>
    <row r="706" spans="1:9" x14ac:dyDescent="0.3">
      <c r="A706" t="s">
        <v>729</v>
      </c>
      <c r="B706" t="s">
        <v>53</v>
      </c>
      <c r="C706" s="1">
        <v>44782</v>
      </c>
      <c r="D706" t="s">
        <v>61</v>
      </c>
      <c r="E706" t="s">
        <v>66</v>
      </c>
      <c r="F706">
        <v>250</v>
      </c>
      <c r="G706" t="s">
        <v>0</v>
      </c>
      <c r="H706" s="2">
        <v>3</v>
      </c>
      <c r="I706" s="16">
        <f ca="1">RAND()</f>
        <v>0.42286757538343722</v>
      </c>
    </row>
    <row r="707" spans="1:9" x14ac:dyDescent="0.3">
      <c r="A707" t="s">
        <v>730</v>
      </c>
      <c r="B707" t="s">
        <v>54</v>
      </c>
      <c r="C707" s="1">
        <v>44806</v>
      </c>
      <c r="D707" t="s">
        <v>62</v>
      </c>
      <c r="E707" t="s">
        <v>66</v>
      </c>
      <c r="F707">
        <v>130</v>
      </c>
      <c r="G707" t="s">
        <v>1</v>
      </c>
      <c r="H707" s="2">
        <v>2</v>
      </c>
      <c r="I707" s="16">
        <f ca="1">RAND()</f>
        <v>0.21997463721154364</v>
      </c>
    </row>
    <row r="708" spans="1:9" x14ac:dyDescent="0.3">
      <c r="A708" t="s">
        <v>731</v>
      </c>
      <c r="B708" t="s">
        <v>51</v>
      </c>
      <c r="C708" s="1">
        <v>44798</v>
      </c>
      <c r="D708" t="s">
        <v>59</v>
      </c>
      <c r="E708" t="s">
        <v>66</v>
      </c>
      <c r="F708">
        <v>72</v>
      </c>
      <c r="G708" t="s">
        <v>2</v>
      </c>
      <c r="H708" s="2">
        <v>5</v>
      </c>
      <c r="I708" s="16">
        <f ca="1">RAND()</f>
        <v>0.74063964496861001</v>
      </c>
    </row>
    <row r="709" spans="1:9" x14ac:dyDescent="0.3">
      <c r="A709" t="s">
        <v>732</v>
      </c>
      <c r="B709" t="s">
        <v>52</v>
      </c>
      <c r="C709" s="1">
        <v>44758</v>
      </c>
      <c r="D709" t="s">
        <v>60</v>
      </c>
      <c r="E709" t="s">
        <v>66</v>
      </c>
      <c r="F709">
        <v>65</v>
      </c>
      <c r="G709" t="s">
        <v>0</v>
      </c>
      <c r="H709" s="2">
        <v>6</v>
      </c>
      <c r="I709" s="16">
        <f ca="1">RAND()</f>
        <v>2.3635335785563982E-2</v>
      </c>
    </row>
    <row r="710" spans="1:9" x14ac:dyDescent="0.3">
      <c r="A710" t="s">
        <v>733</v>
      </c>
      <c r="B710" t="s">
        <v>53</v>
      </c>
      <c r="C710" s="1">
        <v>44785</v>
      </c>
      <c r="D710" t="s">
        <v>61</v>
      </c>
      <c r="E710" t="s">
        <v>66</v>
      </c>
      <c r="F710">
        <v>250</v>
      </c>
      <c r="G710" t="s">
        <v>1</v>
      </c>
      <c r="H710" s="2">
        <v>1</v>
      </c>
      <c r="I710" s="16">
        <f ca="1">RAND()</f>
        <v>0.65629845796122588</v>
      </c>
    </row>
    <row r="711" spans="1:9" x14ac:dyDescent="0.3">
      <c r="A711" t="s">
        <v>734</v>
      </c>
      <c r="B711" t="s">
        <v>54</v>
      </c>
      <c r="C711" s="1">
        <v>44761</v>
      </c>
      <c r="D711" t="s">
        <v>62</v>
      </c>
      <c r="E711" t="s">
        <v>66</v>
      </c>
      <c r="F711">
        <v>130</v>
      </c>
      <c r="G711" t="s">
        <v>2</v>
      </c>
      <c r="H711" s="2">
        <v>4</v>
      </c>
      <c r="I711" s="16">
        <f ca="1">RAND()</f>
        <v>0.25709727981914798</v>
      </c>
    </row>
    <row r="712" spans="1:9" x14ac:dyDescent="0.3">
      <c r="A712" t="s">
        <v>735</v>
      </c>
      <c r="B712" t="s">
        <v>55</v>
      </c>
      <c r="C712" s="1">
        <v>44800</v>
      </c>
      <c r="D712" t="s">
        <v>63</v>
      </c>
      <c r="E712" t="s">
        <v>66</v>
      </c>
      <c r="F712">
        <v>60</v>
      </c>
      <c r="G712" t="s">
        <v>0</v>
      </c>
      <c r="H712" s="2">
        <v>7</v>
      </c>
      <c r="I712" s="16">
        <f ca="1">RAND()</f>
        <v>0.89607507240909146</v>
      </c>
    </row>
    <row r="713" spans="1:9" x14ac:dyDescent="0.3">
      <c r="A713" t="s">
        <v>736</v>
      </c>
      <c r="B713" t="s">
        <v>51</v>
      </c>
      <c r="C713" s="1">
        <v>44807</v>
      </c>
      <c r="D713" t="s">
        <v>59</v>
      </c>
      <c r="E713" t="s">
        <v>66</v>
      </c>
      <c r="F713">
        <v>72</v>
      </c>
      <c r="G713" t="s">
        <v>1</v>
      </c>
      <c r="H713" s="2">
        <v>6</v>
      </c>
      <c r="I713" s="16">
        <f ca="1">RAND()</f>
        <v>8.1412688358067475E-2</v>
      </c>
    </row>
    <row r="714" spans="1:9" x14ac:dyDescent="0.3">
      <c r="A714" t="s">
        <v>737</v>
      </c>
      <c r="B714" t="s">
        <v>52</v>
      </c>
      <c r="C714" s="1">
        <v>44799</v>
      </c>
      <c r="D714" t="s">
        <v>60</v>
      </c>
      <c r="E714" t="s">
        <v>66</v>
      </c>
      <c r="F714">
        <v>65</v>
      </c>
      <c r="G714" t="s">
        <v>2</v>
      </c>
      <c r="H714" s="2">
        <v>11</v>
      </c>
      <c r="I714" s="16">
        <f ca="1">RAND()</f>
        <v>0.47830070723438556</v>
      </c>
    </row>
    <row r="715" spans="1:9" x14ac:dyDescent="0.3">
      <c r="A715" t="s">
        <v>738</v>
      </c>
      <c r="B715" t="s">
        <v>53</v>
      </c>
      <c r="C715" s="1">
        <v>44759</v>
      </c>
      <c r="D715" t="s">
        <v>61</v>
      </c>
      <c r="E715" t="s">
        <v>67</v>
      </c>
      <c r="F715">
        <v>250</v>
      </c>
      <c r="G715" t="s">
        <v>0</v>
      </c>
      <c r="H715" s="2">
        <v>1</v>
      </c>
      <c r="I715" s="16">
        <f ca="1">RAND()</f>
        <v>0.94889789073499609</v>
      </c>
    </row>
    <row r="716" spans="1:9" x14ac:dyDescent="0.3">
      <c r="A716" t="s">
        <v>739</v>
      </c>
      <c r="B716" t="s">
        <v>54</v>
      </c>
      <c r="C716" s="1">
        <v>44763</v>
      </c>
      <c r="D716" t="s">
        <v>62</v>
      </c>
      <c r="E716" t="s">
        <v>66</v>
      </c>
      <c r="F716">
        <v>130</v>
      </c>
      <c r="G716" t="s">
        <v>1</v>
      </c>
      <c r="H716" s="2">
        <v>2</v>
      </c>
      <c r="I716" s="16">
        <f ca="1">RAND()</f>
        <v>5.7520101413209956E-2</v>
      </c>
    </row>
    <row r="717" spans="1:9" x14ac:dyDescent="0.3">
      <c r="A717" t="s">
        <v>740</v>
      </c>
      <c r="B717" t="s">
        <v>51</v>
      </c>
      <c r="C717" s="1">
        <v>44776</v>
      </c>
      <c r="D717" t="s">
        <v>59</v>
      </c>
      <c r="E717" t="s">
        <v>66</v>
      </c>
      <c r="F717">
        <v>72</v>
      </c>
      <c r="G717" t="s">
        <v>2</v>
      </c>
      <c r="H717" s="2">
        <v>12</v>
      </c>
      <c r="I717" s="16">
        <f ca="1">RAND()</f>
        <v>0.504120438808626</v>
      </c>
    </row>
    <row r="718" spans="1:9" x14ac:dyDescent="0.3">
      <c r="A718" t="s">
        <v>741</v>
      </c>
      <c r="B718" t="s">
        <v>52</v>
      </c>
      <c r="C718" s="1">
        <v>44763</v>
      </c>
      <c r="D718" t="s">
        <v>60</v>
      </c>
      <c r="E718" t="s">
        <v>66</v>
      </c>
      <c r="F718">
        <v>65</v>
      </c>
      <c r="G718" t="s">
        <v>0</v>
      </c>
      <c r="H718" s="2">
        <v>9</v>
      </c>
      <c r="I718" s="16">
        <f ca="1">RAND()</f>
        <v>0.4570114902959167</v>
      </c>
    </row>
    <row r="719" spans="1:9" x14ac:dyDescent="0.3">
      <c r="A719" t="s">
        <v>742</v>
      </c>
      <c r="B719" t="s">
        <v>53</v>
      </c>
      <c r="C719" s="1">
        <v>44803</v>
      </c>
      <c r="D719" t="s">
        <v>61</v>
      </c>
      <c r="E719" t="s">
        <v>66</v>
      </c>
      <c r="F719">
        <v>250</v>
      </c>
      <c r="G719" t="s">
        <v>1</v>
      </c>
      <c r="H719" s="2">
        <v>2</v>
      </c>
      <c r="I719" s="16">
        <f ca="1">RAND()</f>
        <v>6.3734067598041455E-2</v>
      </c>
    </row>
    <row r="720" spans="1:9" x14ac:dyDescent="0.3">
      <c r="A720" t="s">
        <v>743</v>
      </c>
      <c r="B720" t="s">
        <v>54</v>
      </c>
      <c r="C720" s="1">
        <v>44806</v>
      </c>
      <c r="D720" t="s">
        <v>62</v>
      </c>
      <c r="E720" t="s">
        <v>66</v>
      </c>
      <c r="F720">
        <v>130</v>
      </c>
      <c r="G720" t="s">
        <v>2</v>
      </c>
      <c r="H720" s="2">
        <v>2</v>
      </c>
      <c r="I720" s="16">
        <f ca="1">RAND()</f>
        <v>0.46800280200524713</v>
      </c>
    </row>
    <row r="721" spans="1:9" x14ac:dyDescent="0.3">
      <c r="A721" t="s">
        <v>744</v>
      </c>
      <c r="B721" t="s">
        <v>55</v>
      </c>
      <c r="C721" s="1">
        <v>44774</v>
      </c>
      <c r="D721" t="s">
        <v>63</v>
      </c>
      <c r="E721" t="s">
        <v>67</v>
      </c>
      <c r="F721">
        <v>60</v>
      </c>
      <c r="G721" t="s">
        <v>0</v>
      </c>
      <c r="H721" s="2">
        <v>12</v>
      </c>
      <c r="I721" s="16">
        <f ca="1">RAND()</f>
        <v>0.71396347726729015</v>
      </c>
    </row>
    <row r="722" spans="1:9" x14ac:dyDescent="0.3">
      <c r="A722" t="s">
        <v>745</v>
      </c>
      <c r="B722" t="s">
        <v>56</v>
      </c>
      <c r="C722" s="1">
        <v>44769</v>
      </c>
      <c r="D722" t="s">
        <v>64</v>
      </c>
      <c r="E722" t="s">
        <v>66</v>
      </c>
      <c r="F722">
        <v>95</v>
      </c>
      <c r="G722" t="s">
        <v>1</v>
      </c>
      <c r="H722" s="2">
        <v>5</v>
      </c>
      <c r="I722" s="16">
        <f ca="1">RAND()</f>
        <v>0.82990403899356568</v>
      </c>
    </row>
    <row r="723" spans="1:9" x14ac:dyDescent="0.3">
      <c r="A723" t="s">
        <v>746</v>
      </c>
      <c r="B723" t="s">
        <v>51</v>
      </c>
      <c r="C723" s="1">
        <v>44793</v>
      </c>
      <c r="D723" t="s">
        <v>59</v>
      </c>
      <c r="E723" t="s">
        <v>66</v>
      </c>
      <c r="F723">
        <v>72</v>
      </c>
      <c r="G723" t="s">
        <v>2</v>
      </c>
      <c r="H723" s="2">
        <v>8</v>
      </c>
      <c r="I723" s="16">
        <f ca="1">RAND()</f>
        <v>0.17960149784732771</v>
      </c>
    </row>
    <row r="724" spans="1:9" x14ac:dyDescent="0.3">
      <c r="A724" t="s">
        <v>747</v>
      </c>
      <c r="B724" t="s">
        <v>52</v>
      </c>
      <c r="C724" s="1">
        <v>44768</v>
      </c>
      <c r="D724" t="s">
        <v>60</v>
      </c>
      <c r="E724" t="s">
        <v>66</v>
      </c>
      <c r="F724">
        <v>65</v>
      </c>
      <c r="G724" t="s">
        <v>0</v>
      </c>
      <c r="H724" s="2">
        <v>4</v>
      </c>
      <c r="I724" s="16">
        <f ca="1">RAND()</f>
        <v>0.58002218078037349</v>
      </c>
    </row>
    <row r="725" spans="1:9" x14ac:dyDescent="0.3">
      <c r="A725" t="s">
        <v>748</v>
      </c>
      <c r="B725" t="s">
        <v>53</v>
      </c>
      <c r="C725" s="1">
        <v>44803</v>
      </c>
      <c r="D725" t="s">
        <v>61</v>
      </c>
      <c r="E725" t="s">
        <v>67</v>
      </c>
      <c r="F725">
        <v>250</v>
      </c>
      <c r="G725" t="s">
        <v>1</v>
      </c>
      <c r="H725" s="2">
        <v>2</v>
      </c>
      <c r="I725" s="16">
        <f ca="1">RAND()</f>
        <v>0.30905427402103658</v>
      </c>
    </row>
    <row r="726" spans="1:9" x14ac:dyDescent="0.3">
      <c r="A726" t="s">
        <v>749</v>
      </c>
      <c r="B726" t="s">
        <v>54</v>
      </c>
      <c r="C726" s="1">
        <v>44755</v>
      </c>
      <c r="D726" t="s">
        <v>62</v>
      </c>
      <c r="E726" t="s">
        <v>67</v>
      </c>
      <c r="F726">
        <v>130</v>
      </c>
      <c r="G726" t="s">
        <v>2</v>
      </c>
      <c r="H726" s="2">
        <v>4</v>
      </c>
      <c r="I726" s="16">
        <f ca="1">RAND()</f>
        <v>0.27175085900410645</v>
      </c>
    </row>
    <row r="727" spans="1:9" x14ac:dyDescent="0.3">
      <c r="A727" t="s">
        <v>750</v>
      </c>
      <c r="B727" t="s">
        <v>51</v>
      </c>
      <c r="C727" s="1">
        <v>44789</v>
      </c>
      <c r="D727" t="s">
        <v>59</v>
      </c>
      <c r="E727" t="s">
        <v>67</v>
      </c>
      <c r="F727">
        <v>72</v>
      </c>
      <c r="G727" t="s">
        <v>0</v>
      </c>
      <c r="H727" s="2">
        <v>5</v>
      </c>
      <c r="I727" s="16">
        <f ca="1">RAND()</f>
        <v>0.40311331171840314</v>
      </c>
    </row>
    <row r="728" spans="1:9" x14ac:dyDescent="0.3">
      <c r="A728" t="s">
        <v>751</v>
      </c>
      <c r="B728" t="s">
        <v>52</v>
      </c>
      <c r="C728" s="1">
        <v>44785</v>
      </c>
      <c r="D728" t="s">
        <v>60</v>
      </c>
      <c r="E728" t="s">
        <v>67</v>
      </c>
      <c r="F728">
        <v>65</v>
      </c>
      <c r="G728" t="s">
        <v>1</v>
      </c>
      <c r="H728" s="2">
        <v>10</v>
      </c>
      <c r="I728" s="16">
        <f ca="1">RAND()</f>
        <v>0.66012823727670888</v>
      </c>
    </row>
    <row r="729" spans="1:9" x14ac:dyDescent="0.3">
      <c r="A729" t="s">
        <v>752</v>
      </c>
      <c r="B729" t="s">
        <v>53</v>
      </c>
      <c r="C729" s="1">
        <v>44775</v>
      </c>
      <c r="D729" t="s">
        <v>61</v>
      </c>
      <c r="E729" t="s">
        <v>67</v>
      </c>
      <c r="F729">
        <v>250</v>
      </c>
      <c r="G729" t="s">
        <v>2</v>
      </c>
      <c r="H729" s="2">
        <v>2</v>
      </c>
      <c r="I729" s="16">
        <f ca="1">RAND()</f>
        <v>0.25271609516432447</v>
      </c>
    </row>
    <row r="730" spans="1:9" x14ac:dyDescent="0.3">
      <c r="A730" t="s">
        <v>753</v>
      </c>
      <c r="B730" t="s">
        <v>54</v>
      </c>
      <c r="C730" s="1">
        <v>44807</v>
      </c>
      <c r="D730" t="s">
        <v>62</v>
      </c>
      <c r="E730" t="s">
        <v>67</v>
      </c>
      <c r="F730">
        <v>130</v>
      </c>
      <c r="G730" t="s">
        <v>0</v>
      </c>
      <c r="H730" s="2">
        <v>3</v>
      </c>
      <c r="I730" s="16">
        <f ca="1">RAND()</f>
        <v>0.79166235820558262</v>
      </c>
    </row>
    <row r="731" spans="1:9" x14ac:dyDescent="0.3">
      <c r="A731" t="s">
        <v>754</v>
      </c>
      <c r="B731" t="s">
        <v>51</v>
      </c>
      <c r="C731" s="1">
        <v>44765</v>
      </c>
      <c r="D731" t="s">
        <v>59</v>
      </c>
      <c r="E731" t="s">
        <v>67</v>
      </c>
      <c r="F731">
        <v>72</v>
      </c>
      <c r="G731" t="s">
        <v>0</v>
      </c>
      <c r="H731" s="2">
        <v>9</v>
      </c>
      <c r="I731" s="16">
        <f ca="1">RAND()</f>
        <v>0.83676989018331271</v>
      </c>
    </row>
    <row r="732" spans="1:9" x14ac:dyDescent="0.3">
      <c r="A732" t="s">
        <v>755</v>
      </c>
      <c r="B732" t="s">
        <v>52</v>
      </c>
      <c r="C732" s="1">
        <v>44791</v>
      </c>
      <c r="D732" t="s">
        <v>60</v>
      </c>
      <c r="E732" t="s">
        <v>66</v>
      </c>
      <c r="F732">
        <v>65</v>
      </c>
      <c r="G732" t="s">
        <v>1</v>
      </c>
      <c r="H732" s="2">
        <v>11</v>
      </c>
      <c r="I732" s="16">
        <f ca="1">RAND()</f>
        <v>4.1543447686400059E-2</v>
      </c>
    </row>
    <row r="733" spans="1:9" x14ac:dyDescent="0.3">
      <c r="A733" t="s">
        <v>756</v>
      </c>
      <c r="B733" t="s">
        <v>53</v>
      </c>
      <c r="C733" s="1">
        <v>44777</v>
      </c>
      <c r="D733" t="s">
        <v>61</v>
      </c>
      <c r="E733" t="s">
        <v>66</v>
      </c>
      <c r="F733">
        <v>250</v>
      </c>
      <c r="G733" t="s">
        <v>2</v>
      </c>
      <c r="H733" s="2">
        <v>1</v>
      </c>
      <c r="I733" s="16">
        <f ca="1">RAND()</f>
        <v>0.6683954813075208</v>
      </c>
    </row>
    <row r="734" spans="1:9" x14ac:dyDescent="0.3">
      <c r="A734" t="s">
        <v>757</v>
      </c>
      <c r="B734" t="s">
        <v>54</v>
      </c>
      <c r="C734" s="1">
        <v>44806</v>
      </c>
      <c r="D734" t="s">
        <v>62</v>
      </c>
      <c r="E734" t="s">
        <v>66</v>
      </c>
      <c r="F734">
        <v>130</v>
      </c>
      <c r="G734" t="s">
        <v>0</v>
      </c>
      <c r="H734" s="2">
        <v>5</v>
      </c>
      <c r="I734" s="16">
        <f ca="1">RAND()</f>
        <v>0.28161277928566286</v>
      </c>
    </row>
    <row r="735" spans="1:9" x14ac:dyDescent="0.3">
      <c r="A735" t="s">
        <v>758</v>
      </c>
      <c r="B735" t="s">
        <v>51</v>
      </c>
      <c r="C735" s="1">
        <v>44796</v>
      </c>
      <c r="D735" t="s">
        <v>59</v>
      </c>
      <c r="E735" t="s">
        <v>67</v>
      </c>
      <c r="F735">
        <v>72</v>
      </c>
      <c r="G735" t="s">
        <v>1</v>
      </c>
      <c r="H735" s="2">
        <v>11</v>
      </c>
      <c r="I735" s="16">
        <f ca="1">RAND()</f>
        <v>0.68279219863129736</v>
      </c>
    </row>
    <row r="736" spans="1:9" x14ac:dyDescent="0.3">
      <c r="A736" t="s">
        <v>759</v>
      </c>
      <c r="B736" t="s">
        <v>52</v>
      </c>
      <c r="C736" s="1">
        <v>44760</v>
      </c>
      <c r="D736" t="s">
        <v>60</v>
      </c>
      <c r="E736" t="s">
        <v>67</v>
      </c>
      <c r="F736">
        <v>65</v>
      </c>
      <c r="G736" t="s">
        <v>2</v>
      </c>
      <c r="H736" s="2">
        <v>10</v>
      </c>
      <c r="I736" s="16">
        <f ca="1">RAND()</f>
        <v>0.26837687906549801</v>
      </c>
    </row>
    <row r="737" spans="1:9" x14ac:dyDescent="0.3">
      <c r="A737" t="s">
        <v>760</v>
      </c>
      <c r="B737" t="s">
        <v>53</v>
      </c>
      <c r="C737" s="1">
        <v>44759</v>
      </c>
      <c r="D737" t="s">
        <v>61</v>
      </c>
      <c r="E737" t="s">
        <v>67</v>
      </c>
      <c r="F737">
        <v>250</v>
      </c>
      <c r="G737" t="s">
        <v>0</v>
      </c>
      <c r="H737" s="2">
        <v>2</v>
      </c>
      <c r="I737" s="16">
        <f ca="1">RAND()</f>
        <v>0.16041830588438688</v>
      </c>
    </row>
    <row r="738" spans="1:9" x14ac:dyDescent="0.3">
      <c r="A738" t="s">
        <v>761</v>
      </c>
      <c r="B738" t="s">
        <v>54</v>
      </c>
      <c r="C738" s="1">
        <v>44795</v>
      </c>
      <c r="D738" t="s">
        <v>62</v>
      </c>
      <c r="E738" t="s">
        <v>67</v>
      </c>
      <c r="F738">
        <v>130</v>
      </c>
      <c r="G738" t="s">
        <v>1</v>
      </c>
      <c r="H738" s="2">
        <v>4</v>
      </c>
      <c r="I738" s="16">
        <f ca="1">RAND()</f>
        <v>0.72118638866406226</v>
      </c>
    </row>
    <row r="739" spans="1:9" x14ac:dyDescent="0.3">
      <c r="A739" t="s">
        <v>762</v>
      </c>
      <c r="B739" t="s">
        <v>55</v>
      </c>
      <c r="C739" s="1">
        <v>44808</v>
      </c>
      <c r="D739" t="s">
        <v>63</v>
      </c>
      <c r="E739" t="s">
        <v>67</v>
      </c>
      <c r="F739">
        <v>60</v>
      </c>
      <c r="G739" t="s">
        <v>2</v>
      </c>
      <c r="H739" s="2">
        <v>4</v>
      </c>
      <c r="I739" s="16">
        <f ca="1">RAND()</f>
        <v>3.2153935447472248E-2</v>
      </c>
    </row>
    <row r="740" spans="1:9" x14ac:dyDescent="0.3">
      <c r="A740" t="s">
        <v>763</v>
      </c>
      <c r="B740" t="s">
        <v>51</v>
      </c>
      <c r="C740" s="1">
        <v>44756</v>
      </c>
      <c r="D740" t="s">
        <v>59</v>
      </c>
      <c r="E740" t="s">
        <v>67</v>
      </c>
      <c r="F740">
        <v>72</v>
      </c>
      <c r="G740" t="s">
        <v>0</v>
      </c>
      <c r="H740" s="2">
        <v>12</v>
      </c>
      <c r="I740" s="16">
        <f ca="1">RAND()</f>
        <v>0.89775356871250556</v>
      </c>
    </row>
    <row r="741" spans="1:9" x14ac:dyDescent="0.3">
      <c r="A741" t="s">
        <v>764</v>
      </c>
      <c r="B741" t="s">
        <v>52</v>
      </c>
      <c r="C741" s="1">
        <v>44801</v>
      </c>
      <c r="D741" t="s">
        <v>60</v>
      </c>
      <c r="E741" t="s">
        <v>67</v>
      </c>
      <c r="F741">
        <v>65</v>
      </c>
      <c r="G741" t="s">
        <v>1</v>
      </c>
      <c r="H741" s="2">
        <v>5</v>
      </c>
      <c r="I741" s="16">
        <f ca="1">RAND()</f>
        <v>0.50795280215376015</v>
      </c>
    </row>
    <row r="742" spans="1:9" x14ac:dyDescent="0.3">
      <c r="A742" t="s">
        <v>765</v>
      </c>
      <c r="B742" t="s">
        <v>53</v>
      </c>
      <c r="C742" s="1">
        <v>44806</v>
      </c>
      <c r="D742" t="s">
        <v>61</v>
      </c>
      <c r="E742" t="s">
        <v>66</v>
      </c>
      <c r="F742">
        <v>250</v>
      </c>
      <c r="G742" t="s">
        <v>2</v>
      </c>
      <c r="H742" s="2">
        <v>3</v>
      </c>
      <c r="I742" s="16">
        <f ca="1">RAND()</f>
        <v>6.2747728743509423E-2</v>
      </c>
    </row>
    <row r="743" spans="1:9" x14ac:dyDescent="0.3">
      <c r="A743" t="s">
        <v>766</v>
      </c>
      <c r="B743" t="s">
        <v>54</v>
      </c>
      <c r="C743" s="1">
        <v>44794</v>
      </c>
      <c r="D743" t="s">
        <v>62</v>
      </c>
      <c r="E743" t="s">
        <v>66</v>
      </c>
      <c r="F743">
        <v>130</v>
      </c>
      <c r="G743" t="s">
        <v>0</v>
      </c>
      <c r="H743" s="2">
        <v>2</v>
      </c>
      <c r="I743" s="16">
        <f ca="1">RAND()</f>
        <v>0.31321135495275021</v>
      </c>
    </row>
    <row r="744" spans="1:9" x14ac:dyDescent="0.3">
      <c r="A744" t="s">
        <v>767</v>
      </c>
      <c r="B744" t="s">
        <v>51</v>
      </c>
      <c r="C744" s="1">
        <v>44800</v>
      </c>
      <c r="D744" t="s">
        <v>59</v>
      </c>
      <c r="E744" t="s">
        <v>66</v>
      </c>
      <c r="F744">
        <v>72</v>
      </c>
      <c r="G744" t="s">
        <v>1</v>
      </c>
      <c r="H744" s="2">
        <v>7</v>
      </c>
      <c r="I744" s="16">
        <f ca="1">RAND()</f>
        <v>0.99007894346009928</v>
      </c>
    </row>
    <row r="745" spans="1:9" x14ac:dyDescent="0.3">
      <c r="A745" t="s">
        <v>768</v>
      </c>
      <c r="B745" t="s">
        <v>52</v>
      </c>
      <c r="C745" s="1">
        <v>44789</v>
      </c>
      <c r="D745" t="s">
        <v>60</v>
      </c>
      <c r="E745" t="s">
        <v>67</v>
      </c>
      <c r="F745">
        <v>65</v>
      </c>
      <c r="G745" t="s">
        <v>2</v>
      </c>
      <c r="H745" s="2">
        <v>12</v>
      </c>
      <c r="I745" s="16">
        <f ca="1">RAND()</f>
        <v>0.76318498912527877</v>
      </c>
    </row>
    <row r="746" spans="1:9" x14ac:dyDescent="0.3">
      <c r="A746" t="s">
        <v>769</v>
      </c>
      <c r="B746" t="s">
        <v>53</v>
      </c>
      <c r="C746" s="1">
        <v>44802</v>
      </c>
      <c r="D746" t="s">
        <v>61</v>
      </c>
      <c r="E746" t="s">
        <v>67</v>
      </c>
      <c r="F746">
        <v>250</v>
      </c>
      <c r="G746" t="s">
        <v>0</v>
      </c>
      <c r="H746" s="2">
        <v>3</v>
      </c>
      <c r="I746" s="16">
        <f ca="1">RAND()</f>
        <v>0.71183952177702092</v>
      </c>
    </row>
    <row r="747" spans="1:9" x14ac:dyDescent="0.3">
      <c r="A747" t="s">
        <v>770</v>
      </c>
      <c r="B747" t="s">
        <v>54</v>
      </c>
      <c r="C747" s="1">
        <v>44793</v>
      </c>
      <c r="D747" t="s">
        <v>62</v>
      </c>
      <c r="E747" t="s">
        <v>67</v>
      </c>
      <c r="F747">
        <v>130</v>
      </c>
      <c r="G747" t="s">
        <v>1</v>
      </c>
      <c r="H747" s="2">
        <v>4</v>
      </c>
      <c r="I747" s="16">
        <f ca="1">RAND()</f>
        <v>0.87060865047612723</v>
      </c>
    </row>
    <row r="748" spans="1:9" x14ac:dyDescent="0.3">
      <c r="A748" t="s">
        <v>771</v>
      </c>
      <c r="B748" t="s">
        <v>55</v>
      </c>
      <c r="C748" s="1">
        <v>44793</v>
      </c>
      <c r="D748" t="s">
        <v>63</v>
      </c>
      <c r="E748" t="s">
        <v>67</v>
      </c>
      <c r="F748">
        <v>60</v>
      </c>
      <c r="G748" t="s">
        <v>2</v>
      </c>
      <c r="H748" s="2">
        <v>8</v>
      </c>
      <c r="I748" s="16">
        <f ca="1">RAND()</f>
        <v>0.62250965261800284</v>
      </c>
    </row>
    <row r="749" spans="1:9" x14ac:dyDescent="0.3">
      <c r="A749" t="s">
        <v>772</v>
      </c>
      <c r="B749" t="s">
        <v>56</v>
      </c>
      <c r="C749" s="1">
        <v>44785</v>
      </c>
      <c r="D749" t="s">
        <v>64</v>
      </c>
      <c r="E749" t="s">
        <v>67</v>
      </c>
      <c r="F749">
        <v>95</v>
      </c>
      <c r="G749" t="s">
        <v>0</v>
      </c>
      <c r="H749" s="2">
        <v>3</v>
      </c>
      <c r="I749" s="16">
        <f ca="1">RAND()</f>
        <v>0.38595828789435904</v>
      </c>
    </row>
    <row r="750" spans="1:9" x14ac:dyDescent="0.3">
      <c r="A750" t="s">
        <v>773</v>
      </c>
      <c r="B750" t="s">
        <v>51</v>
      </c>
      <c r="C750" s="1">
        <v>44778</v>
      </c>
      <c r="D750" t="s">
        <v>59</v>
      </c>
      <c r="E750" t="s">
        <v>67</v>
      </c>
      <c r="F750">
        <v>72</v>
      </c>
      <c r="G750" t="s">
        <v>1</v>
      </c>
      <c r="H750" s="2">
        <v>8</v>
      </c>
      <c r="I750" s="16">
        <f ca="1">RAND()</f>
        <v>0.42638617579746407</v>
      </c>
    </row>
    <row r="751" spans="1:9" x14ac:dyDescent="0.3">
      <c r="A751" t="s">
        <v>774</v>
      </c>
      <c r="B751" t="s">
        <v>52</v>
      </c>
      <c r="C751" s="1">
        <v>44764</v>
      </c>
      <c r="D751" t="s">
        <v>60</v>
      </c>
      <c r="E751" t="s">
        <v>67</v>
      </c>
      <c r="F751">
        <v>65</v>
      </c>
      <c r="G751" t="s">
        <v>2</v>
      </c>
      <c r="H751" s="2">
        <v>12</v>
      </c>
      <c r="I751" s="16">
        <f ca="1">RAND()</f>
        <v>0.15200261624966793</v>
      </c>
    </row>
    <row r="752" spans="1:9" x14ac:dyDescent="0.3">
      <c r="A752" t="s">
        <v>775</v>
      </c>
      <c r="B752" t="s">
        <v>53</v>
      </c>
      <c r="C752" s="1">
        <v>44769</v>
      </c>
      <c r="D752" t="s">
        <v>61</v>
      </c>
      <c r="E752" t="s">
        <v>66</v>
      </c>
      <c r="F752">
        <v>250</v>
      </c>
      <c r="G752" t="s">
        <v>0</v>
      </c>
      <c r="H752" s="2">
        <v>3</v>
      </c>
      <c r="I752" s="16">
        <f ca="1">RAND()</f>
        <v>0.40018894047673226</v>
      </c>
    </row>
    <row r="753" spans="1:9" x14ac:dyDescent="0.3">
      <c r="A753" t="s">
        <v>776</v>
      </c>
      <c r="B753" t="s">
        <v>54</v>
      </c>
      <c r="C753" s="1">
        <v>44794</v>
      </c>
      <c r="D753" t="s">
        <v>62</v>
      </c>
      <c r="E753" t="s">
        <v>66</v>
      </c>
      <c r="F753">
        <v>130</v>
      </c>
      <c r="G753" t="s">
        <v>1</v>
      </c>
      <c r="H753" s="2">
        <v>4</v>
      </c>
      <c r="I753" s="16">
        <f ca="1">RAND()</f>
        <v>6.9079887595080436E-3</v>
      </c>
    </row>
    <row r="754" spans="1:9" x14ac:dyDescent="0.3">
      <c r="A754" t="s">
        <v>777</v>
      </c>
      <c r="B754" t="s">
        <v>51</v>
      </c>
      <c r="C754" s="1">
        <v>44766</v>
      </c>
      <c r="D754" t="s">
        <v>59</v>
      </c>
      <c r="E754" t="s">
        <v>66</v>
      </c>
      <c r="F754">
        <v>72</v>
      </c>
      <c r="G754" t="s">
        <v>2</v>
      </c>
      <c r="H754" s="2">
        <v>11</v>
      </c>
      <c r="I754" s="16">
        <f ca="1">RAND()</f>
        <v>0.58179562976550403</v>
      </c>
    </row>
    <row r="755" spans="1:9" x14ac:dyDescent="0.3">
      <c r="A755" t="s">
        <v>778</v>
      </c>
      <c r="B755" t="s">
        <v>52</v>
      </c>
      <c r="C755" s="1">
        <v>44772</v>
      </c>
      <c r="D755" t="s">
        <v>60</v>
      </c>
      <c r="E755" t="s">
        <v>67</v>
      </c>
      <c r="F755">
        <v>65</v>
      </c>
      <c r="G755" t="s">
        <v>0</v>
      </c>
      <c r="H755" s="2">
        <v>9</v>
      </c>
      <c r="I755" s="16">
        <f ca="1">RAND()</f>
        <v>0.86835055052030652</v>
      </c>
    </row>
    <row r="756" spans="1:9" x14ac:dyDescent="0.3">
      <c r="A756" t="s">
        <v>779</v>
      </c>
      <c r="B756" t="s">
        <v>53</v>
      </c>
      <c r="C756" s="1">
        <v>44787</v>
      </c>
      <c r="D756" t="s">
        <v>61</v>
      </c>
      <c r="E756" t="s">
        <v>67</v>
      </c>
      <c r="F756">
        <v>250</v>
      </c>
      <c r="G756" t="s">
        <v>1</v>
      </c>
      <c r="H756" s="2">
        <v>3</v>
      </c>
      <c r="I756" s="16">
        <f ca="1">RAND()</f>
        <v>0.88480068357372388</v>
      </c>
    </row>
    <row r="757" spans="1:9" x14ac:dyDescent="0.3">
      <c r="A757" t="s">
        <v>780</v>
      </c>
      <c r="B757" t="s">
        <v>54</v>
      </c>
      <c r="C757" s="1">
        <v>44755</v>
      </c>
      <c r="D757" t="s">
        <v>62</v>
      </c>
      <c r="E757" t="s">
        <v>67</v>
      </c>
      <c r="F757">
        <v>130</v>
      </c>
      <c r="G757" t="s">
        <v>2</v>
      </c>
      <c r="H757" s="2">
        <v>3</v>
      </c>
      <c r="I757" s="16">
        <f ca="1">RAND()</f>
        <v>8.0774652731152141E-2</v>
      </c>
    </row>
    <row r="758" spans="1:9" x14ac:dyDescent="0.3">
      <c r="A758" t="s">
        <v>781</v>
      </c>
      <c r="B758" t="s">
        <v>55</v>
      </c>
      <c r="C758" s="1">
        <v>44785</v>
      </c>
      <c r="D758" t="s">
        <v>63</v>
      </c>
      <c r="E758" t="s">
        <v>67</v>
      </c>
      <c r="F758">
        <v>60</v>
      </c>
      <c r="G758" t="s">
        <v>0</v>
      </c>
      <c r="H758" s="2">
        <v>13</v>
      </c>
      <c r="I758" s="16">
        <f ca="1">RAND()</f>
        <v>3.1922233452549631E-2</v>
      </c>
    </row>
    <row r="759" spans="1:9" x14ac:dyDescent="0.3">
      <c r="A759" t="s">
        <v>782</v>
      </c>
      <c r="B759" t="s">
        <v>51</v>
      </c>
      <c r="C759" s="1">
        <v>44761</v>
      </c>
      <c r="D759" t="s">
        <v>59</v>
      </c>
      <c r="E759" t="s">
        <v>67</v>
      </c>
      <c r="F759">
        <v>72</v>
      </c>
      <c r="G759" t="s">
        <v>1</v>
      </c>
      <c r="H759" s="2">
        <v>12</v>
      </c>
      <c r="I759" s="16">
        <f ca="1">RAND()</f>
        <v>0.21768762969883093</v>
      </c>
    </row>
    <row r="760" spans="1:9" x14ac:dyDescent="0.3">
      <c r="A760" t="s">
        <v>783</v>
      </c>
      <c r="B760" t="s">
        <v>52</v>
      </c>
      <c r="C760" s="1">
        <v>44770</v>
      </c>
      <c r="D760" t="s">
        <v>60</v>
      </c>
      <c r="E760" t="s">
        <v>67</v>
      </c>
      <c r="F760">
        <v>65</v>
      </c>
      <c r="G760" t="s">
        <v>2</v>
      </c>
      <c r="H760" s="2">
        <v>5</v>
      </c>
      <c r="I760" s="16">
        <f ca="1">RAND()</f>
        <v>6.7800080393502382E-2</v>
      </c>
    </row>
    <row r="761" spans="1:9" x14ac:dyDescent="0.3">
      <c r="A761" t="s">
        <v>784</v>
      </c>
      <c r="B761" t="s">
        <v>53</v>
      </c>
      <c r="C761" s="1">
        <v>44769</v>
      </c>
      <c r="D761" t="s">
        <v>61</v>
      </c>
      <c r="E761" t="s">
        <v>66</v>
      </c>
      <c r="F761">
        <v>250</v>
      </c>
      <c r="G761" t="s">
        <v>0</v>
      </c>
      <c r="H761" s="2">
        <v>3</v>
      </c>
      <c r="I761" s="16">
        <f ca="1">RAND()</f>
        <v>0.81775861547758111</v>
      </c>
    </row>
    <row r="762" spans="1:9" x14ac:dyDescent="0.3">
      <c r="A762" t="s">
        <v>785</v>
      </c>
      <c r="B762" t="s">
        <v>54</v>
      </c>
      <c r="C762" s="1">
        <v>44785</v>
      </c>
      <c r="D762" t="s">
        <v>62</v>
      </c>
      <c r="E762" t="s">
        <v>67</v>
      </c>
      <c r="F762">
        <v>130</v>
      </c>
      <c r="G762" t="s">
        <v>1</v>
      </c>
      <c r="H762" s="2">
        <v>5</v>
      </c>
      <c r="I762" s="16">
        <f ca="1">RAND()</f>
        <v>0.11517104439913484</v>
      </c>
    </row>
    <row r="763" spans="1:9" x14ac:dyDescent="0.3">
      <c r="A763" t="s">
        <v>786</v>
      </c>
      <c r="B763" t="s">
        <v>51</v>
      </c>
      <c r="C763" s="1">
        <v>44771</v>
      </c>
      <c r="D763" t="s">
        <v>59</v>
      </c>
      <c r="E763" t="s">
        <v>66</v>
      </c>
      <c r="F763">
        <v>72</v>
      </c>
      <c r="G763" t="s">
        <v>2</v>
      </c>
      <c r="H763" s="2">
        <v>8</v>
      </c>
      <c r="I763" s="16">
        <f ca="1">RAND()</f>
        <v>1.1137015144817686E-2</v>
      </c>
    </row>
    <row r="764" spans="1:9" x14ac:dyDescent="0.3">
      <c r="A764" t="s">
        <v>787</v>
      </c>
      <c r="B764" t="s">
        <v>52</v>
      </c>
      <c r="C764" s="1">
        <v>44776</v>
      </c>
      <c r="D764" t="s">
        <v>60</v>
      </c>
      <c r="E764" t="s">
        <v>67</v>
      </c>
      <c r="F764">
        <v>65</v>
      </c>
      <c r="G764" t="s">
        <v>0</v>
      </c>
      <c r="H764" s="2">
        <v>4</v>
      </c>
      <c r="I764" s="16">
        <f ca="1">RAND()</f>
        <v>0.94132954615568709</v>
      </c>
    </row>
    <row r="765" spans="1:9" x14ac:dyDescent="0.3">
      <c r="A765" t="s">
        <v>788</v>
      </c>
      <c r="B765" t="s">
        <v>53</v>
      </c>
      <c r="C765" s="1">
        <v>44782</v>
      </c>
      <c r="D765" t="s">
        <v>61</v>
      </c>
      <c r="E765" t="s">
        <v>66</v>
      </c>
      <c r="F765">
        <v>250</v>
      </c>
      <c r="G765" t="s">
        <v>1</v>
      </c>
      <c r="H765" s="2">
        <v>3</v>
      </c>
      <c r="I765" s="16">
        <f ca="1">RAND()</f>
        <v>0.99633137302347963</v>
      </c>
    </row>
    <row r="766" spans="1:9" x14ac:dyDescent="0.3">
      <c r="A766" t="s">
        <v>789</v>
      </c>
      <c r="B766" t="s">
        <v>54</v>
      </c>
      <c r="C766" s="1">
        <v>44765</v>
      </c>
      <c r="D766" t="s">
        <v>62</v>
      </c>
      <c r="E766" t="s">
        <v>67</v>
      </c>
      <c r="F766">
        <v>130</v>
      </c>
      <c r="G766" t="s">
        <v>2</v>
      </c>
      <c r="H766" s="2">
        <v>7</v>
      </c>
      <c r="I766" s="16">
        <f ca="1">RAND()</f>
        <v>0.31726723386712685</v>
      </c>
    </row>
    <row r="767" spans="1:9" x14ac:dyDescent="0.3">
      <c r="A767" t="s">
        <v>790</v>
      </c>
      <c r="B767" t="s">
        <v>55</v>
      </c>
      <c r="C767" s="1">
        <v>44778</v>
      </c>
      <c r="D767" t="s">
        <v>63</v>
      </c>
      <c r="E767" t="s">
        <v>66</v>
      </c>
      <c r="F767">
        <v>60</v>
      </c>
      <c r="G767" t="s">
        <v>0</v>
      </c>
      <c r="H767" s="2">
        <v>7</v>
      </c>
      <c r="I767" s="16">
        <f ca="1">RAND()</f>
        <v>1.4270145215404706E-2</v>
      </c>
    </row>
    <row r="768" spans="1:9" x14ac:dyDescent="0.3">
      <c r="A768" t="s">
        <v>791</v>
      </c>
      <c r="B768" t="s">
        <v>56</v>
      </c>
      <c r="C768" s="1">
        <v>44774</v>
      </c>
      <c r="D768" t="s">
        <v>64</v>
      </c>
      <c r="E768" t="s">
        <v>67</v>
      </c>
      <c r="F768">
        <v>95</v>
      </c>
      <c r="G768" t="s">
        <v>1</v>
      </c>
      <c r="H768" s="2">
        <v>7</v>
      </c>
      <c r="I768" s="16">
        <f ca="1">RAND()</f>
        <v>0.27272455521094252</v>
      </c>
    </row>
    <row r="769" spans="1:9" x14ac:dyDescent="0.3">
      <c r="A769" t="s">
        <v>792</v>
      </c>
      <c r="B769" t="s">
        <v>51</v>
      </c>
      <c r="C769" s="1">
        <v>44803</v>
      </c>
      <c r="D769" t="s">
        <v>59</v>
      </c>
      <c r="E769" t="s">
        <v>66</v>
      </c>
      <c r="F769">
        <v>72</v>
      </c>
      <c r="G769" t="s">
        <v>2</v>
      </c>
      <c r="H769" s="2">
        <v>5</v>
      </c>
      <c r="I769" s="16">
        <f ca="1">RAND()</f>
        <v>0.314449683320152</v>
      </c>
    </row>
    <row r="770" spans="1:9" x14ac:dyDescent="0.3">
      <c r="A770" t="s">
        <v>793</v>
      </c>
      <c r="B770" t="s">
        <v>52</v>
      </c>
      <c r="C770" s="1">
        <v>44782</v>
      </c>
      <c r="D770" t="s">
        <v>60</v>
      </c>
      <c r="E770" t="s">
        <v>67</v>
      </c>
      <c r="F770">
        <v>65</v>
      </c>
      <c r="G770" t="s">
        <v>0</v>
      </c>
      <c r="H770" s="2">
        <v>6</v>
      </c>
      <c r="I770" s="16">
        <f ca="1">RAND()</f>
        <v>0.22851679471188868</v>
      </c>
    </row>
    <row r="771" spans="1:9" x14ac:dyDescent="0.3">
      <c r="A771" t="s">
        <v>794</v>
      </c>
      <c r="B771" t="s">
        <v>53</v>
      </c>
      <c r="C771" s="1">
        <v>44774</v>
      </c>
      <c r="D771" t="s">
        <v>61</v>
      </c>
      <c r="E771" t="s">
        <v>66</v>
      </c>
      <c r="F771">
        <v>250</v>
      </c>
      <c r="G771" t="s">
        <v>1</v>
      </c>
      <c r="H771" s="2">
        <v>2</v>
      </c>
      <c r="I771" s="16">
        <f ca="1">RAND()</f>
        <v>0.33789716875023745</v>
      </c>
    </row>
    <row r="772" spans="1:9" x14ac:dyDescent="0.3">
      <c r="A772" t="s">
        <v>795</v>
      </c>
      <c r="B772" t="s">
        <v>54</v>
      </c>
      <c r="C772" s="1">
        <v>44790</v>
      </c>
      <c r="D772" t="s">
        <v>62</v>
      </c>
      <c r="E772" t="s">
        <v>67</v>
      </c>
      <c r="F772">
        <v>130</v>
      </c>
      <c r="G772" t="s">
        <v>2</v>
      </c>
      <c r="H772" s="2">
        <v>2</v>
      </c>
      <c r="I772" s="16">
        <f ca="1">RAND()</f>
        <v>0.63121254142439598</v>
      </c>
    </row>
    <row r="773" spans="1:9" x14ac:dyDescent="0.3">
      <c r="A773" t="s">
        <v>796</v>
      </c>
      <c r="B773" t="s">
        <v>51</v>
      </c>
      <c r="C773" s="1">
        <v>44790</v>
      </c>
      <c r="D773" t="s">
        <v>59</v>
      </c>
      <c r="E773" t="s">
        <v>66</v>
      </c>
      <c r="F773">
        <v>72</v>
      </c>
      <c r="G773" t="s">
        <v>0</v>
      </c>
      <c r="H773" s="2">
        <v>4</v>
      </c>
      <c r="I773" s="16">
        <f ca="1">RAND()</f>
        <v>0.50064240435401042</v>
      </c>
    </row>
    <row r="774" spans="1:9" x14ac:dyDescent="0.3">
      <c r="A774" t="s">
        <v>797</v>
      </c>
      <c r="B774" t="s">
        <v>52</v>
      </c>
      <c r="C774" s="1">
        <v>44757</v>
      </c>
      <c r="D774" t="s">
        <v>60</v>
      </c>
      <c r="E774" t="s">
        <v>67</v>
      </c>
      <c r="F774">
        <v>65</v>
      </c>
      <c r="G774" t="s">
        <v>1</v>
      </c>
      <c r="H774" s="2">
        <v>10</v>
      </c>
      <c r="I774" s="16">
        <f ca="1">RAND()</f>
        <v>4.0054443736012524E-2</v>
      </c>
    </row>
    <row r="775" spans="1:9" x14ac:dyDescent="0.3">
      <c r="A775" t="s">
        <v>798</v>
      </c>
      <c r="B775" t="s">
        <v>53</v>
      </c>
      <c r="C775" s="1">
        <v>44778</v>
      </c>
      <c r="D775" t="s">
        <v>61</v>
      </c>
      <c r="E775" t="s">
        <v>66</v>
      </c>
      <c r="F775">
        <v>250</v>
      </c>
      <c r="G775" t="s">
        <v>2</v>
      </c>
      <c r="H775" s="2">
        <v>1</v>
      </c>
      <c r="I775" s="16">
        <f ca="1">RAND()</f>
        <v>0.1725173824496653</v>
      </c>
    </row>
    <row r="776" spans="1:9" x14ac:dyDescent="0.3">
      <c r="A776" t="s">
        <v>799</v>
      </c>
      <c r="B776" t="s">
        <v>54</v>
      </c>
      <c r="C776" s="1">
        <v>44795</v>
      </c>
      <c r="D776" t="s">
        <v>59</v>
      </c>
      <c r="E776" t="s">
        <v>67</v>
      </c>
      <c r="F776">
        <v>72</v>
      </c>
      <c r="G776" t="s">
        <v>0</v>
      </c>
      <c r="H776" s="2">
        <v>12</v>
      </c>
      <c r="I776" s="16">
        <f ca="1">RAND()</f>
        <v>0.69301283675521019</v>
      </c>
    </row>
    <row r="777" spans="1:9" x14ac:dyDescent="0.3">
      <c r="A777" t="s">
        <v>800</v>
      </c>
      <c r="B777" t="s">
        <v>51</v>
      </c>
      <c r="C777" s="1">
        <v>44800</v>
      </c>
      <c r="D777" t="s">
        <v>60</v>
      </c>
      <c r="E777" t="s">
        <v>66</v>
      </c>
      <c r="F777">
        <v>65</v>
      </c>
      <c r="G777" t="s">
        <v>0</v>
      </c>
      <c r="H777" s="2">
        <v>11</v>
      </c>
      <c r="I777" s="16">
        <f ca="1">RAND()</f>
        <v>0.33971923347690081</v>
      </c>
    </row>
    <row r="778" spans="1:9" x14ac:dyDescent="0.3">
      <c r="A778" t="s">
        <v>801</v>
      </c>
      <c r="B778" t="s">
        <v>52</v>
      </c>
      <c r="C778" s="1">
        <v>44783</v>
      </c>
      <c r="D778" t="s">
        <v>61</v>
      </c>
      <c r="E778" t="s">
        <v>67</v>
      </c>
      <c r="F778">
        <v>250</v>
      </c>
      <c r="G778" t="s">
        <v>1</v>
      </c>
      <c r="H778" s="2">
        <v>2</v>
      </c>
      <c r="I778" s="16">
        <f ca="1">RAND()</f>
        <v>8.9041861579237214E-2</v>
      </c>
    </row>
    <row r="779" spans="1:9" x14ac:dyDescent="0.3">
      <c r="A779" t="s">
        <v>802</v>
      </c>
      <c r="B779" t="s">
        <v>53</v>
      </c>
      <c r="C779" s="1">
        <v>44770</v>
      </c>
      <c r="D779" t="s">
        <v>62</v>
      </c>
      <c r="E779" t="s">
        <v>67</v>
      </c>
      <c r="F779">
        <v>130</v>
      </c>
      <c r="G779" t="s">
        <v>2</v>
      </c>
      <c r="H779" s="2">
        <v>7</v>
      </c>
      <c r="I779" s="16">
        <f ca="1">RAND()</f>
        <v>0.66313387185775108</v>
      </c>
    </row>
    <row r="780" spans="1:9" x14ac:dyDescent="0.3">
      <c r="A780" t="s">
        <v>803</v>
      </c>
      <c r="B780" t="s">
        <v>54</v>
      </c>
      <c r="C780" s="1">
        <v>44764</v>
      </c>
      <c r="D780" t="s">
        <v>59</v>
      </c>
      <c r="E780" t="s">
        <v>67</v>
      </c>
      <c r="F780">
        <v>72</v>
      </c>
      <c r="G780" t="s">
        <v>0</v>
      </c>
      <c r="H780" s="2">
        <v>6</v>
      </c>
      <c r="I780" s="16">
        <f ca="1">RAND()</f>
        <v>0.72998532974978281</v>
      </c>
    </row>
    <row r="781" spans="1:9" x14ac:dyDescent="0.3">
      <c r="A781" t="s">
        <v>804</v>
      </c>
      <c r="B781" t="s">
        <v>51</v>
      </c>
      <c r="C781" s="1">
        <v>44810</v>
      </c>
      <c r="D781" t="s">
        <v>60</v>
      </c>
      <c r="E781" t="s">
        <v>67</v>
      </c>
      <c r="F781">
        <v>65</v>
      </c>
      <c r="G781" t="s">
        <v>1</v>
      </c>
      <c r="H781" s="2">
        <v>4</v>
      </c>
      <c r="I781" s="16">
        <f ca="1">RAND()</f>
        <v>0.95316152564003953</v>
      </c>
    </row>
    <row r="782" spans="1:9" x14ac:dyDescent="0.3">
      <c r="A782" t="s">
        <v>805</v>
      </c>
      <c r="B782" t="s">
        <v>52</v>
      </c>
      <c r="C782" s="1">
        <v>44793</v>
      </c>
      <c r="D782" t="s">
        <v>61</v>
      </c>
      <c r="E782" t="s">
        <v>67</v>
      </c>
      <c r="F782">
        <v>250</v>
      </c>
      <c r="G782" t="s">
        <v>2</v>
      </c>
      <c r="H782" s="2">
        <v>2</v>
      </c>
      <c r="I782" s="16">
        <f ca="1">RAND()</f>
        <v>0.60032489780524501</v>
      </c>
    </row>
    <row r="783" spans="1:9" x14ac:dyDescent="0.3">
      <c r="A783" t="s">
        <v>806</v>
      </c>
      <c r="B783" t="s">
        <v>53</v>
      </c>
      <c r="C783" s="1">
        <v>44787</v>
      </c>
      <c r="D783" t="s">
        <v>62</v>
      </c>
      <c r="E783" t="s">
        <v>66</v>
      </c>
      <c r="F783">
        <v>130</v>
      </c>
      <c r="G783" t="s">
        <v>0</v>
      </c>
      <c r="H783" s="2">
        <v>4</v>
      </c>
      <c r="I783" s="16">
        <f ca="1">RAND()</f>
        <v>0.3201591966992603</v>
      </c>
    </row>
    <row r="784" spans="1:9" x14ac:dyDescent="0.3">
      <c r="A784" t="s">
        <v>807</v>
      </c>
      <c r="B784" t="s">
        <v>54</v>
      </c>
      <c r="C784" s="1">
        <v>44774</v>
      </c>
      <c r="D784" t="s">
        <v>63</v>
      </c>
      <c r="E784" t="s">
        <v>67</v>
      </c>
      <c r="F784">
        <v>60</v>
      </c>
      <c r="G784" t="s">
        <v>1</v>
      </c>
      <c r="H784" s="2">
        <v>8</v>
      </c>
      <c r="I784" s="16">
        <f ca="1">RAND()</f>
        <v>0.18485958330373597</v>
      </c>
    </row>
    <row r="785" spans="1:9" x14ac:dyDescent="0.3">
      <c r="A785" t="s">
        <v>808</v>
      </c>
      <c r="B785" t="s">
        <v>55</v>
      </c>
      <c r="C785" s="1">
        <v>44756</v>
      </c>
      <c r="D785" t="s">
        <v>59</v>
      </c>
      <c r="E785" t="s">
        <v>66</v>
      </c>
      <c r="F785">
        <v>72</v>
      </c>
      <c r="G785" t="s">
        <v>2</v>
      </c>
      <c r="H785" s="2">
        <v>4</v>
      </c>
      <c r="I785" s="16">
        <f ca="1">RAND()</f>
        <v>0.89104933410874299</v>
      </c>
    </row>
    <row r="786" spans="1:9" x14ac:dyDescent="0.3">
      <c r="A786" t="s">
        <v>809</v>
      </c>
      <c r="B786" t="s">
        <v>51</v>
      </c>
      <c r="C786" s="1">
        <v>44810</v>
      </c>
      <c r="D786" t="s">
        <v>60</v>
      </c>
      <c r="E786" t="s">
        <v>67</v>
      </c>
      <c r="F786">
        <v>65</v>
      </c>
      <c r="G786" t="s">
        <v>0</v>
      </c>
      <c r="H786" s="2">
        <v>5</v>
      </c>
      <c r="I786" s="16">
        <f ca="1">RAND()</f>
        <v>0.62928899085101542</v>
      </c>
    </row>
    <row r="787" spans="1:9" x14ac:dyDescent="0.3">
      <c r="A787" t="s">
        <v>810</v>
      </c>
      <c r="B787" t="s">
        <v>52</v>
      </c>
      <c r="C787" s="1">
        <v>44774</v>
      </c>
      <c r="D787" t="s">
        <v>61</v>
      </c>
      <c r="E787" t="s">
        <v>66</v>
      </c>
      <c r="F787">
        <v>250</v>
      </c>
      <c r="G787" t="s">
        <v>1</v>
      </c>
      <c r="H787" s="2">
        <v>3</v>
      </c>
      <c r="I787" s="16">
        <f ca="1">RAND()</f>
        <v>0.93061378070017065</v>
      </c>
    </row>
    <row r="788" spans="1:9" x14ac:dyDescent="0.3">
      <c r="A788" t="s">
        <v>811</v>
      </c>
      <c r="B788" t="s">
        <v>53</v>
      </c>
      <c r="C788" s="1">
        <v>44804</v>
      </c>
      <c r="D788" t="s">
        <v>62</v>
      </c>
      <c r="E788" t="s">
        <v>67</v>
      </c>
      <c r="F788">
        <v>130</v>
      </c>
      <c r="G788" t="s">
        <v>2</v>
      </c>
      <c r="H788" s="2">
        <v>4</v>
      </c>
      <c r="I788" s="16">
        <f ca="1">RAND()</f>
        <v>0.97560656513705046</v>
      </c>
    </row>
    <row r="789" spans="1:9" x14ac:dyDescent="0.3">
      <c r="A789" t="s">
        <v>812</v>
      </c>
      <c r="B789" t="s">
        <v>54</v>
      </c>
      <c r="C789" s="1">
        <v>44803</v>
      </c>
      <c r="D789" t="s">
        <v>59</v>
      </c>
      <c r="E789" t="s">
        <v>66</v>
      </c>
      <c r="F789">
        <v>72</v>
      </c>
      <c r="G789" t="s">
        <v>0</v>
      </c>
      <c r="H789" s="2">
        <v>5</v>
      </c>
      <c r="I789" s="16">
        <f ca="1">RAND()</f>
        <v>0.60077744548292877</v>
      </c>
    </row>
    <row r="790" spans="1:9" x14ac:dyDescent="0.3">
      <c r="A790" t="s">
        <v>813</v>
      </c>
      <c r="B790" t="s">
        <v>51</v>
      </c>
      <c r="C790" s="1">
        <v>44808</v>
      </c>
      <c r="D790" t="s">
        <v>60</v>
      </c>
      <c r="E790" t="s">
        <v>67</v>
      </c>
      <c r="F790">
        <v>65</v>
      </c>
      <c r="G790" t="s">
        <v>1</v>
      </c>
      <c r="H790" s="2">
        <v>7</v>
      </c>
      <c r="I790" s="16">
        <f ca="1">RAND()</f>
        <v>0.66489517763072814</v>
      </c>
    </row>
    <row r="791" spans="1:9" x14ac:dyDescent="0.3">
      <c r="A791" t="s">
        <v>814</v>
      </c>
      <c r="B791" t="s">
        <v>52</v>
      </c>
      <c r="C791" s="1">
        <v>44786</v>
      </c>
      <c r="D791" t="s">
        <v>61</v>
      </c>
      <c r="E791" t="s">
        <v>66</v>
      </c>
      <c r="F791">
        <v>250</v>
      </c>
      <c r="G791" t="s">
        <v>2</v>
      </c>
      <c r="H791" s="2">
        <v>1</v>
      </c>
      <c r="I791" s="16">
        <f ca="1">RAND()</f>
        <v>3.9611324458079467E-2</v>
      </c>
    </row>
    <row r="792" spans="1:9" x14ac:dyDescent="0.3">
      <c r="A792" t="s">
        <v>815</v>
      </c>
      <c r="B792" t="s">
        <v>53</v>
      </c>
      <c r="C792" s="1">
        <v>44788</v>
      </c>
      <c r="D792" t="s">
        <v>62</v>
      </c>
      <c r="E792" t="s">
        <v>67</v>
      </c>
      <c r="F792">
        <v>130</v>
      </c>
      <c r="G792" t="s">
        <v>0</v>
      </c>
      <c r="H792" s="2">
        <v>6</v>
      </c>
      <c r="I792" s="16">
        <f ca="1">RAND()</f>
        <v>0.18541081069451915</v>
      </c>
    </row>
    <row r="793" spans="1:9" x14ac:dyDescent="0.3">
      <c r="A793" t="s">
        <v>816</v>
      </c>
      <c r="B793" t="s">
        <v>54</v>
      </c>
      <c r="C793" s="1">
        <v>44772</v>
      </c>
      <c r="D793" t="s">
        <v>63</v>
      </c>
      <c r="E793" t="s">
        <v>66</v>
      </c>
      <c r="F793">
        <v>60</v>
      </c>
      <c r="G793" t="s">
        <v>1</v>
      </c>
      <c r="H793" s="2">
        <v>13</v>
      </c>
      <c r="I793" s="16">
        <f ca="1">RAND()</f>
        <v>0.18261942093947336</v>
      </c>
    </row>
    <row r="794" spans="1:9" x14ac:dyDescent="0.3">
      <c r="A794" t="s">
        <v>817</v>
      </c>
      <c r="B794" t="s">
        <v>55</v>
      </c>
      <c r="C794" s="1">
        <v>44756</v>
      </c>
      <c r="D794" t="s">
        <v>64</v>
      </c>
      <c r="E794" t="s">
        <v>67</v>
      </c>
      <c r="F794">
        <v>95</v>
      </c>
      <c r="G794" t="s">
        <v>2</v>
      </c>
      <c r="H794" s="2">
        <v>6</v>
      </c>
      <c r="I794" s="16">
        <f ca="1">RAND()</f>
        <v>0.47475042799028067</v>
      </c>
    </row>
    <row r="795" spans="1:9" x14ac:dyDescent="0.3">
      <c r="A795" t="s">
        <v>818</v>
      </c>
      <c r="B795" t="s">
        <v>56</v>
      </c>
      <c r="C795" s="1">
        <v>44808</v>
      </c>
      <c r="D795" t="s">
        <v>59</v>
      </c>
      <c r="E795" t="s">
        <v>66</v>
      </c>
      <c r="F795">
        <v>72</v>
      </c>
      <c r="G795" t="s">
        <v>0</v>
      </c>
      <c r="H795" s="2">
        <v>12</v>
      </c>
      <c r="I795" s="16">
        <f ca="1">RAND()</f>
        <v>0.60322856271507441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5BF08-4DC3-4247-832F-F7DCDDC342D8}">
  <dimension ref="A1:I116"/>
  <sheetViews>
    <sheetView workbookViewId="0">
      <selection activeCell="F5" sqref="F5"/>
    </sheetView>
  </sheetViews>
  <sheetFormatPr defaultRowHeight="14.4" x14ac:dyDescent="0.3"/>
  <cols>
    <col min="1" max="1" width="26" bestFit="1" customWidth="1"/>
    <col min="2" max="2" width="14.88671875" bestFit="1" customWidth="1"/>
    <col min="3" max="3" width="15.88671875" bestFit="1" customWidth="1"/>
    <col min="4" max="4" width="12.5546875" bestFit="1" customWidth="1"/>
    <col min="5" max="5" width="15.88671875" bestFit="1" customWidth="1"/>
    <col min="6" max="6" width="14.88671875" bestFit="1" customWidth="1"/>
    <col min="7" max="8" width="18.109375" bestFit="1" customWidth="1"/>
    <col min="9" max="9" width="14.88671875" bestFit="1" customWidth="1"/>
  </cols>
  <sheetData>
    <row r="1" spans="1:8" x14ac:dyDescent="0.3">
      <c r="A1" t="s">
        <v>835</v>
      </c>
    </row>
    <row r="3" spans="1:8" x14ac:dyDescent="0.3">
      <c r="A3" t="s">
        <v>927</v>
      </c>
    </row>
    <row r="4" spans="1:8" x14ac:dyDescent="0.3">
      <c r="A4">
        <v>794</v>
      </c>
      <c r="C4">
        <f>GETPIVOTDATA("Order ID",$A$3)</f>
        <v>794</v>
      </c>
      <c r="E4" t="s">
        <v>927</v>
      </c>
      <c r="F4" t="s">
        <v>928</v>
      </c>
      <c r="G4" t="s">
        <v>929</v>
      </c>
      <c r="H4" t="s">
        <v>931</v>
      </c>
    </row>
    <row r="5" spans="1:8" x14ac:dyDescent="0.3">
      <c r="E5" s="17">
        <v>794</v>
      </c>
      <c r="F5" s="17">
        <v>238135.72429748089</v>
      </c>
      <c r="G5" s="17">
        <v>299.91904823360312</v>
      </c>
      <c r="H5" s="10">
        <v>0.4603333772130111</v>
      </c>
    </row>
    <row r="6" spans="1:8" x14ac:dyDescent="0.3">
      <c r="A6" t="s">
        <v>928</v>
      </c>
    </row>
    <row r="7" spans="1:8" x14ac:dyDescent="0.3">
      <c r="A7">
        <v>238135.72429748089</v>
      </c>
      <c r="C7">
        <f>GETPIVOTDATA("Revenue",$A$6)</f>
        <v>238135.72429748089</v>
      </c>
      <c r="E7">
        <f>GETPIVOTDATA("Count of Order ID",$E$4)</f>
        <v>794</v>
      </c>
      <c r="F7" s="12">
        <f>GETPIVOTDATA("Sum of Revenue",$E$4)</f>
        <v>238135.72429748089</v>
      </c>
      <c r="G7" s="6">
        <f>GETPIVOTDATA("Average of Revenue",$E$4)</f>
        <v>299.91904823360312</v>
      </c>
      <c r="H7" s="11">
        <f>GETPIVOTDATA("Average of Discount",$E$4)</f>
        <v>0.4603333772130111</v>
      </c>
    </row>
    <row r="9" spans="1:8" x14ac:dyDescent="0.3">
      <c r="A9" t="s">
        <v>929</v>
      </c>
    </row>
    <row r="10" spans="1:8" x14ac:dyDescent="0.3">
      <c r="A10">
        <v>299.91904823360312</v>
      </c>
      <c r="C10">
        <f>GETPIVOTDATA("Revenue",$A$10)</f>
        <v>299.91904823360312</v>
      </c>
    </row>
    <row r="12" spans="1:8" x14ac:dyDescent="0.3">
      <c r="A12" t="s">
        <v>931</v>
      </c>
    </row>
    <row r="13" spans="1:8" x14ac:dyDescent="0.3">
      <c r="A13" s="10">
        <v>0.4603333772130111</v>
      </c>
      <c r="C13" s="11">
        <f>GETPIVOTDATA("Discount",$A$13)</f>
        <v>0.4603333772130111</v>
      </c>
    </row>
    <row r="16" spans="1:8" x14ac:dyDescent="0.3">
      <c r="A16" s="7" t="s">
        <v>836</v>
      </c>
    </row>
    <row r="17" spans="1:9" x14ac:dyDescent="0.3">
      <c r="A17" s="4" t="s">
        <v>841</v>
      </c>
      <c r="B17" t="s">
        <v>932</v>
      </c>
    </row>
    <row r="18" spans="1:9" x14ac:dyDescent="0.3">
      <c r="A18" s="5" t="s">
        <v>60</v>
      </c>
      <c r="B18" s="17">
        <v>1422</v>
      </c>
    </row>
    <row r="19" spans="1:9" x14ac:dyDescent="0.3">
      <c r="A19" s="5" t="s">
        <v>59</v>
      </c>
      <c r="B19" s="17">
        <v>1334</v>
      </c>
    </row>
    <row r="20" spans="1:9" x14ac:dyDescent="0.3">
      <c r="A20" s="5" t="s">
        <v>62</v>
      </c>
      <c r="B20" s="17">
        <v>708</v>
      </c>
    </row>
    <row r="21" spans="1:9" x14ac:dyDescent="0.3">
      <c r="A21" s="5" t="s">
        <v>63</v>
      </c>
      <c r="B21" s="17">
        <v>673</v>
      </c>
    </row>
    <row r="22" spans="1:9" x14ac:dyDescent="0.3">
      <c r="A22" s="5" t="s">
        <v>61</v>
      </c>
      <c r="B22" s="17">
        <v>395</v>
      </c>
    </row>
    <row r="23" spans="1:9" x14ac:dyDescent="0.3">
      <c r="A23" s="5" t="s">
        <v>64</v>
      </c>
      <c r="B23" s="17">
        <v>196</v>
      </c>
    </row>
    <row r="24" spans="1:9" x14ac:dyDescent="0.3">
      <c r="A24" s="5" t="s">
        <v>842</v>
      </c>
      <c r="B24" s="17">
        <v>4728</v>
      </c>
    </row>
    <row r="26" spans="1:9" x14ac:dyDescent="0.3">
      <c r="A26" s="7" t="s">
        <v>837</v>
      </c>
    </row>
    <row r="27" spans="1:9" x14ac:dyDescent="0.3">
      <c r="A27" s="4" t="s">
        <v>841</v>
      </c>
      <c r="B27" t="s">
        <v>927</v>
      </c>
      <c r="D27" s="4" t="s">
        <v>841</v>
      </c>
      <c r="E27" t="s">
        <v>927</v>
      </c>
      <c r="H27" s="4" t="s">
        <v>841</v>
      </c>
      <c r="I27" t="s">
        <v>928</v>
      </c>
    </row>
    <row r="28" spans="1:9" x14ac:dyDescent="0.3">
      <c r="A28" s="5" t="s">
        <v>933</v>
      </c>
      <c r="B28" s="17">
        <v>262</v>
      </c>
      <c r="D28" s="5" t="s">
        <v>933</v>
      </c>
      <c r="E28" s="17"/>
      <c r="H28" s="5" t="s">
        <v>933</v>
      </c>
      <c r="I28" s="17"/>
    </row>
    <row r="29" spans="1:9" x14ac:dyDescent="0.3">
      <c r="A29" s="5" t="s">
        <v>934</v>
      </c>
      <c r="B29" s="17">
        <v>338</v>
      </c>
      <c r="D29" s="8" t="s">
        <v>843</v>
      </c>
      <c r="E29" s="17">
        <v>13</v>
      </c>
      <c r="H29" s="8" t="s">
        <v>843</v>
      </c>
      <c r="I29" s="17">
        <v>5439.1721348153042</v>
      </c>
    </row>
    <row r="30" spans="1:9" x14ac:dyDescent="0.3">
      <c r="A30" s="5" t="s">
        <v>935</v>
      </c>
      <c r="B30" s="17">
        <v>162</v>
      </c>
      <c r="D30" s="8" t="s">
        <v>844</v>
      </c>
      <c r="E30" s="17">
        <v>11</v>
      </c>
      <c r="H30" s="8" t="s">
        <v>844</v>
      </c>
      <c r="I30" s="17">
        <v>2862.8652162816184</v>
      </c>
    </row>
    <row r="31" spans="1:9" x14ac:dyDescent="0.3">
      <c r="A31" s="5" t="s">
        <v>936</v>
      </c>
      <c r="B31" s="17">
        <v>32</v>
      </c>
      <c r="D31" s="8" t="s">
        <v>845</v>
      </c>
      <c r="E31" s="17">
        <v>18</v>
      </c>
      <c r="H31" s="8" t="s">
        <v>845</v>
      </c>
      <c r="I31" s="17">
        <v>5906.9389240762412</v>
      </c>
    </row>
    <row r="32" spans="1:9" x14ac:dyDescent="0.3">
      <c r="A32" s="5" t="s">
        <v>842</v>
      </c>
      <c r="B32" s="17">
        <v>794</v>
      </c>
      <c r="D32" s="8" t="s">
        <v>846</v>
      </c>
      <c r="E32" s="17">
        <v>7</v>
      </c>
      <c r="H32" s="8" t="s">
        <v>846</v>
      </c>
      <c r="I32" s="17">
        <v>2262.648955632154</v>
      </c>
    </row>
    <row r="33" spans="1:9" x14ac:dyDescent="0.3">
      <c r="D33" s="8" t="s">
        <v>847</v>
      </c>
      <c r="E33" s="17">
        <v>12</v>
      </c>
      <c r="H33" s="8" t="s">
        <v>847</v>
      </c>
      <c r="I33" s="17">
        <v>4835.1791960674072</v>
      </c>
    </row>
    <row r="34" spans="1:9" x14ac:dyDescent="0.3">
      <c r="A34" s="7" t="s">
        <v>838</v>
      </c>
      <c r="D34" s="8" t="s">
        <v>848</v>
      </c>
      <c r="E34" s="17">
        <v>6</v>
      </c>
      <c r="H34" s="8" t="s">
        <v>848</v>
      </c>
      <c r="I34" s="17">
        <v>2615.6483628438014</v>
      </c>
    </row>
    <row r="35" spans="1:9" x14ac:dyDescent="0.3">
      <c r="A35" s="4" t="s">
        <v>841</v>
      </c>
      <c r="B35" t="s">
        <v>928</v>
      </c>
      <c r="D35" s="8" t="s">
        <v>849</v>
      </c>
      <c r="E35" s="17">
        <v>13</v>
      </c>
      <c r="H35" s="8" t="s">
        <v>849</v>
      </c>
      <c r="I35" s="17">
        <v>4540.5423351476784</v>
      </c>
    </row>
    <row r="36" spans="1:9" x14ac:dyDescent="0.3">
      <c r="A36" s="5" t="s">
        <v>933</v>
      </c>
      <c r="B36" s="17">
        <v>85205.249563037738</v>
      </c>
      <c r="D36" s="8" t="s">
        <v>850</v>
      </c>
      <c r="E36" s="17">
        <v>8</v>
      </c>
      <c r="H36" s="8" t="s">
        <v>850</v>
      </c>
      <c r="I36" s="17">
        <v>2780.8039628850556</v>
      </c>
    </row>
    <row r="37" spans="1:9" x14ac:dyDescent="0.3">
      <c r="A37" s="5" t="s">
        <v>934</v>
      </c>
      <c r="B37" s="17">
        <v>101304.09081358102</v>
      </c>
      <c r="D37" s="8" t="s">
        <v>851</v>
      </c>
      <c r="E37" s="17">
        <v>7</v>
      </c>
      <c r="H37" s="8" t="s">
        <v>851</v>
      </c>
      <c r="I37" s="17">
        <v>1950.629344931916</v>
      </c>
    </row>
    <row r="38" spans="1:9" x14ac:dyDescent="0.3">
      <c r="A38" s="5" t="s">
        <v>935</v>
      </c>
      <c r="B38" s="17">
        <v>42836.865882241393</v>
      </c>
      <c r="D38" s="8" t="s">
        <v>852</v>
      </c>
      <c r="E38" s="17">
        <v>34</v>
      </c>
      <c r="H38" s="8" t="s">
        <v>852</v>
      </c>
      <c r="I38" s="17">
        <v>12605.560938878396</v>
      </c>
    </row>
    <row r="39" spans="1:9" x14ac:dyDescent="0.3">
      <c r="A39" s="5" t="s">
        <v>936</v>
      </c>
      <c r="B39" s="17">
        <v>8789.518038620683</v>
      </c>
      <c r="D39" s="8" t="s">
        <v>853</v>
      </c>
      <c r="E39" s="17">
        <v>29</v>
      </c>
      <c r="H39" s="8" t="s">
        <v>853</v>
      </c>
      <c r="I39" s="17">
        <v>7335.4444931867774</v>
      </c>
    </row>
    <row r="40" spans="1:9" x14ac:dyDescent="0.3">
      <c r="A40" s="5" t="s">
        <v>842</v>
      </c>
      <c r="B40" s="17">
        <v>238135.72429748083</v>
      </c>
      <c r="D40" s="8" t="s">
        <v>854</v>
      </c>
      <c r="E40" s="17">
        <v>13</v>
      </c>
      <c r="H40" s="8" t="s">
        <v>854</v>
      </c>
      <c r="I40" s="17">
        <v>3495.4029738534414</v>
      </c>
    </row>
    <row r="41" spans="1:9" x14ac:dyDescent="0.3">
      <c r="D41" s="8" t="s">
        <v>855</v>
      </c>
      <c r="E41" s="17">
        <v>26</v>
      </c>
      <c r="H41" s="8" t="s">
        <v>855</v>
      </c>
      <c r="I41" s="17">
        <v>8250.8928588774379</v>
      </c>
    </row>
    <row r="42" spans="1:9" x14ac:dyDescent="0.3">
      <c r="A42" s="7" t="s">
        <v>839</v>
      </c>
      <c r="D42" s="8" t="s">
        <v>856</v>
      </c>
      <c r="E42" s="17">
        <v>17</v>
      </c>
      <c r="H42" s="8" t="s">
        <v>856</v>
      </c>
      <c r="I42" s="17">
        <v>7421.9280922972539</v>
      </c>
    </row>
    <row r="43" spans="1:9" x14ac:dyDescent="0.3">
      <c r="A43" s="4" t="s">
        <v>841</v>
      </c>
      <c r="B43" t="s">
        <v>928</v>
      </c>
      <c r="D43" s="8" t="s">
        <v>857</v>
      </c>
      <c r="E43" s="17">
        <v>11</v>
      </c>
      <c r="H43" s="8" t="s">
        <v>857</v>
      </c>
      <c r="I43" s="17">
        <v>3527.1096482626508</v>
      </c>
    </row>
    <row r="44" spans="1:9" x14ac:dyDescent="0.3">
      <c r="A44" s="5" t="s">
        <v>59</v>
      </c>
      <c r="B44" s="17">
        <v>54467.997683024885</v>
      </c>
      <c r="D44" s="8" t="s">
        <v>858</v>
      </c>
      <c r="E44" s="17">
        <v>27</v>
      </c>
      <c r="H44" s="8" t="s">
        <v>858</v>
      </c>
      <c r="I44" s="17">
        <v>6913.9259049996026</v>
      </c>
    </row>
    <row r="45" spans="1:9" x14ac:dyDescent="0.3">
      <c r="A45" s="5" t="s">
        <v>62</v>
      </c>
      <c r="B45" s="17">
        <v>52660.322918701393</v>
      </c>
      <c r="D45" s="8" t="s">
        <v>859</v>
      </c>
      <c r="E45" s="17">
        <v>10</v>
      </c>
      <c r="H45" s="8" t="s">
        <v>859</v>
      </c>
      <c r="I45" s="17">
        <v>2460.5562200009895</v>
      </c>
    </row>
    <row r="46" spans="1:9" x14ac:dyDescent="0.3">
      <c r="A46" s="5" t="s">
        <v>61</v>
      </c>
      <c r="B46" s="17">
        <v>51733.570260946217</v>
      </c>
      <c r="D46" s="5" t="s">
        <v>934</v>
      </c>
      <c r="E46" s="17"/>
      <c r="H46" s="5" t="s">
        <v>934</v>
      </c>
      <c r="I46" s="17"/>
    </row>
    <row r="47" spans="1:9" x14ac:dyDescent="0.3">
      <c r="A47" s="5" t="s">
        <v>60</v>
      </c>
      <c r="B47" s="17">
        <v>46517.15508360431</v>
      </c>
      <c r="D47" s="8" t="s">
        <v>860</v>
      </c>
      <c r="E47" s="17">
        <v>10</v>
      </c>
      <c r="H47" s="8" t="s">
        <v>860</v>
      </c>
      <c r="I47" s="17">
        <v>2406.9612901549385</v>
      </c>
    </row>
    <row r="48" spans="1:9" x14ac:dyDescent="0.3">
      <c r="A48" s="5" t="s">
        <v>63</v>
      </c>
      <c r="B48" s="17">
        <v>22418.778019737776</v>
      </c>
      <c r="D48" s="8" t="s">
        <v>861</v>
      </c>
      <c r="E48" s="17">
        <v>15</v>
      </c>
      <c r="H48" s="8" t="s">
        <v>861</v>
      </c>
      <c r="I48" s="17">
        <v>3632.2560979635891</v>
      </c>
    </row>
    <row r="49" spans="1:9" x14ac:dyDescent="0.3">
      <c r="A49" s="5" t="s">
        <v>64</v>
      </c>
      <c r="B49" s="17">
        <v>10337.900331466315</v>
      </c>
      <c r="D49" s="8" t="s">
        <v>862</v>
      </c>
      <c r="E49" s="17">
        <v>5</v>
      </c>
      <c r="H49" s="8" t="s">
        <v>862</v>
      </c>
      <c r="I49" s="17">
        <v>1890.337000256882</v>
      </c>
    </row>
    <row r="50" spans="1:9" x14ac:dyDescent="0.3">
      <c r="A50" s="5" t="s">
        <v>842</v>
      </c>
      <c r="B50" s="17">
        <v>238135.72429748089</v>
      </c>
      <c r="D50" s="8" t="s">
        <v>863</v>
      </c>
      <c r="E50" s="17">
        <v>16</v>
      </c>
      <c r="H50" s="8" t="s">
        <v>863</v>
      </c>
      <c r="I50" s="17">
        <v>3364.6256302957695</v>
      </c>
    </row>
    <row r="51" spans="1:9" x14ac:dyDescent="0.3">
      <c r="D51" s="8" t="s">
        <v>864</v>
      </c>
      <c r="E51" s="17">
        <v>10</v>
      </c>
      <c r="H51" s="8" t="s">
        <v>864</v>
      </c>
      <c r="I51" s="17">
        <v>3309.3691955590125</v>
      </c>
    </row>
    <row r="52" spans="1:9" x14ac:dyDescent="0.3">
      <c r="A52" s="7" t="s">
        <v>840</v>
      </c>
      <c r="D52" s="8" t="s">
        <v>865</v>
      </c>
      <c r="E52" s="17">
        <v>10</v>
      </c>
      <c r="H52" s="8" t="s">
        <v>865</v>
      </c>
      <c r="I52" s="17">
        <v>3382.6607002274313</v>
      </c>
    </row>
    <row r="53" spans="1:9" x14ac:dyDescent="0.3">
      <c r="A53" s="4" t="s">
        <v>841</v>
      </c>
      <c r="B53" t="s">
        <v>930</v>
      </c>
      <c r="D53" s="8" t="s">
        <v>866</v>
      </c>
      <c r="E53" s="17">
        <v>10</v>
      </c>
      <c r="H53" s="8" t="s">
        <v>866</v>
      </c>
      <c r="I53" s="17">
        <v>3319.4736889450387</v>
      </c>
    </row>
    <row r="54" spans="1:9" x14ac:dyDescent="0.3">
      <c r="A54" s="5" t="s">
        <v>1</v>
      </c>
      <c r="B54">
        <v>117.1896504901877</v>
      </c>
      <c r="D54" s="8" t="s">
        <v>867</v>
      </c>
      <c r="E54" s="17">
        <v>10</v>
      </c>
      <c r="H54" s="8" t="s">
        <v>867</v>
      </c>
      <c r="I54" s="17">
        <v>4019.8845508165509</v>
      </c>
    </row>
    <row r="55" spans="1:9" x14ac:dyDescent="0.3">
      <c r="A55" s="5" t="s">
        <v>2</v>
      </c>
      <c r="B55">
        <v>117.47262952381915</v>
      </c>
      <c r="D55" s="8" t="s">
        <v>868</v>
      </c>
      <c r="E55" s="17">
        <v>10</v>
      </c>
      <c r="H55" s="8" t="s">
        <v>868</v>
      </c>
      <c r="I55" s="17">
        <v>2916.5297182926402</v>
      </c>
    </row>
    <row r="56" spans="1:9" x14ac:dyDescent="0.3">
      <c r="A56" s="5" t="s">
        <v>0</v>
      </c>
      <c r="B56">
        <v>130.84242149312394</v>
      </c>
      <c r="D56" s="8" t="s">
        <v>869</v>
      </c>
      <c r="E56" s="17">
        <v>15</v>
      </c>
      <c r="H56" s="8" t="s">
        <v>869</v>
      </c>
      <c r="I56" s="17">
        <v>4123.7653307741248</v>
      </c>
    </row>
    <row r="57" spans="1:9" x14ac:dyDescent="0.3">
      <c r="A57" s="5" t="s">
        <v>842</v>
      </c>
      <c r="B57">
        <v>365.50470150713079</v>
      </c>
      <c r="D57" s="8" t="s">
        <v>870</v>
      </c>
      <c r="E57" s="17">
        <v>20</v>
      </c>
      <c r="H57" s="8" t="s">
        <v>870</v>
      </c>
      <c r="I57" s="17">
        <v>7739.4237002842756</v>
      </c>
    </row>
    <row r="58" spans="1:9" x14ac:dyDescent="0.3">
      <c r="D58" s="8" t="s">
        <v>871</v>
      </c>
      <c r="E58" s="17">
        <v>10</v>
      </c>
      <c r="H58" s="8" t="s">
        <v>871</v>
      </c>
      <c r="I58" s="17">
        <v>2435.7501030220901</v>
      </c>
    </row>
    <row r="59" spans="1:9" x14ac:dyDescent="0.3">
      <c r="D59" s="8" t="s">
        <v>872</v>
      </c>
      <c r="E59" s="17">
        <v>26</v>
      </c>
      <c r="H59" s="8" t="s">
        <v>872</v>
      </c>
      <c r="I59" s="17">
        <v>6912.2680197309965</v>
      </c>
    </row>
    <row r="60" spans="1:9" x14ac:dyDescent="0.3">
      <c r="D60" s="8" t="s">
        <v>873</v>
      </c>
      <c r="E60" s="17">
        <v>14</v>
      </c>
      <c r="H60" s="8" t="s">
        <v>873</v>
      </c>
      <c r="I60" s="17">
        <v>4017.6333719583467</v>
      </c>
    </row>
    <row r="61" spans="1:9" x14ac:dyDescent="0.3">
      <c r="D61" s="8" t="s">
        <v>874</v>
      </c>
      <c r="E61" s="17">
        <v>14</v>
      </c>
      <c r="H61" s="8" t="s">
        <v>874</v>
      </c>
      <c r="I61" s="17">
        <v>4705.0808795702387</v>
      </c>
    </row>
    <row r="62" spans="1:9" x14ac:dyDescent="0.3">
      <c r="D62" s="8" t="s">
        <v>875</v>
      </c>
      <c r="E62" s="17">
        <v>7</v>
      </c>
      <c r="H62" s="8" t="s">
        <v>875</v>
      </c>
      <c r="I62" s="17">
        <v>1362.0589101110288</v>
      </c>
    </row>
    <row r="63" spans="1:9" x14ac:dyDescent="0.3">
      <c r="D63" s="8" t="s">
        <v>876</v>
      </c>
      <c r="E63" s="17">
        <v>16</v>
      </c>
      <c r="H63" s="8" t="s">
        <v>876</v>
      </c>
      <c r="I63" s="17">
        <v>3988.7090731787348</v>
      </c>
    </row>
    <row r="64" spans="1:9" x14ac:dyDescent="0.3">
      <c r="D64" s="8" t="s">
        <v>877</v>
      </c>
      <c r="E64" s="17">
        <v>14</v>
      </c>
      <c r="H64" s="8" t="s">
        <v>877</v>
      </c>
      <c r="I64" s="17">
        <v>4790.322854904678</v>
      </c>
    </row>
    <row r="65" spans="4:9" x14ac:dyDescent="0.3">
      <c r="D65" s="8" t="s">
        <v>878</v>
      </c>
      <c r="E65" s="17">
        <v>12</v>
      </c>
      <c r="H65" s="8" t="s">
        <v>878</v>
      </c>
      <c r="I65" s="17">
        <v>4394.185024933593</v>
      </c>
    </row>
    <row r="66" spans="4:9" x14ac:dyDescent="0.3">
      <c r="D66" s="8" t="s">
        <v>879</v>
      </c>
      <c r="E66" s="17">
        <v>13</v>
      </c>
      <c r="H66" s="8" t="s">
        <v>879</v>
      </c>
      <c r="I66" s="17">
        <v>4281.6990494207994</v>
      </c>
    </row>
    <row r="67" spans="4:9" x14ac:dyDescent="0.3">
      <c r="D67" s="8" t="s">
        <v>880</v>
      </c>
      <c r="E67" s="17">
        <v>19</v>
      </c>
      <c r="H67" s="8" t="s">
        <v>880</v>
      </c>
      <c r="I67" s="17">
        <v>4226.6503935231249</v>
      </c>
    </row>
    <row r="68" spans="4:9" x14ac:dyDescent="0.3">
      <c r="D68" s="8" t="s">
        <v>881</v>
      </c>
      <c r="E68" s="17">
        <v>16</v>
      </c>
      <c r="H68" s="8" t="s">
        <v>881</v>
      </c>
      <c r="I68" s="17">
        <v>4023.7775920600975</v>
      </c>
    </row>
    <row r="69" spans="4:9" x14ac:dyDescent="0.3">
      <c r="D69" s="8" t="s">
        <v>882</v>
      </c>
      <c r="E69" s="17">
        <v>7</v>
      </c>
      <c r="H69" s="8" t="s">
        <v>882</v>
      </c>
      <c r="I69" s="17">
        <v>3284.8660618866447</v>
      </c>
    </row>
    <row r="70" spans="4:9" x14ac:dyDescent="0.3">
      <c r="D70" s="8" t="s">
        <v>883</v>
      </c>
      <c r="E70" s="17">
        <v>5</v>
      </c>
      <c r="H70" s="8" t="s">
        <v>883</v>
      </c>
      <c r="I70" s="17">
        <v>1821.1933255634283</v>
      </c>
    </row>
    <row r="71" spans="4:9" x14ac:dyDescent="0.3">
      <c r="D71" s="8" t="s">
        <v>884</v>
      </c>
      <c r="E71" s="17">
        <v>3</v>
      </c>
      <c r="H71" s="8" t="s">
        <v>884</v>
      </c>
      <c r="I71" s="17">
        <v>611.04009870076243</v>
      </c>
    </row>
    <row r="72" spans="4:9" x14ac:dyDescent="0.3">
      <c r="D72" s="8" t="s">
        <v>885</v>
      </c>
      <c r="E72" s="17">
        <v>9</v>
      </c>
      <c r="H72" s="8" t="s">
        <v>885</v>
      </c>
      <c r="I72" s="17">
        <v>3236.7207200765088</v>
      </c>
    </row>
    <row r="73" spans="4:9" x14ac:dyDescent="0.3">
      <c r="D73" s="8" t="s">
        <v>886</v>
      </c>
      <c r="E73" s="17">
        <v>10</v>
      </c>
      <c r="H73" s="8" t="s">
        <v>886</v>
      </c>
      <c r="I73" s="17">
        <v>4062.8751366663228</v>
      </c>
    </row>
    <row r="74" spans="4:9" x14ac:dyDescent="0.3">
      <c r="D74" s="8" t="s">
        <v>887</v>
      </c>
      <c r="E74" s="17">
        <v>4</v>
      </c>
      <c r="H74" s="8" t="s">
        <v>887</v>
      </c>
      <c r="I74" s="17">
        <v>1548.4516668512724</v>
      </c>
    </row>
    <row r="75" spans="4:9" x14ac:dyDescent="0.3">
      <c r="D75" s="8" t="s">
        <v>888</v>
      </c>
      <c r="E75" s="17">
        <v>6</v>
      </c>
      <c r="H75" s="8" t="s">
        <v>888</v>
      </c>
      <c r="I75" s="17">
        <v>1240.6226119388657</v>
      </c>
    </row>
    <row r="76" spans="4:9" x14ac:dyDescent="0.3">
      <c r="D76" s="8" t="s">
        <v>889</v>
      </c>
      <c r="E76" s="17">
        <v>2</v>
      </c>
      <c r="H76" s="8" t="s">
        <v>889</v>
      </c>
      <c r="I76" s="17">
        <v>254.8990159132675</v>
      </c>
    </row>
    <row r="77" spans="4:9" x14ac:dyDescent="0.3">
      <c r="D77" s="5" t="s">
        <v>935</v>
      </c>
      <c r="E77" s="17"/>
      <c r="H77" s="5" t="s">
        <v>935</v>
      </c>
      <c r="I77" s="17"/>
    </row>
    <row r="78" spans="4:9" x14ac:dyDescent="0.3">
      <c r="D78" s="8" t="s">
        <v>890</v>
      </c>
      <c r="E78" s="17">
        <v>8</v>
      </c>
      <c r="H78" s="8" t="s">
        <v>890</v>
      </c>
      <c r="I78" s="17">
        <v>2340.3173842244232</v>
      </c>
    </row>
    <row r="79" spans="4:9" x14ac:dyDescent="0.3">
      <c r="D79" s="8" t="s">
        <v>891</v>
      </c>
      <c r="E79" s="17">
        <v>3</v>
      </c>
      <c r="H79" s="8" t="s">
        <v>891</v>
      </c>
      <c r="I79" s="17">
        <v>1000.3728696142152</v>
      </c>
    </row>
    <row r="80" spans="4:9" x14ac:dyDescent="0.3">
      <c r="D80" s="8" t="s">
        <v>892</v>
      </c>
      <c r="E80" s="17">
        <v>4</v>
      </c>
      <c r="H80" s="8" t="s">
        <v>892</v>
      </c>
      <c r="I80" s="17">
        <v>1221.134032936166</v>
      </c>
    </row>
    <row r="81" spans="4:9" x14ac:dyDescent="0.3">
      <c r="D81" s="8" t="s">
        <v>893</v>
      </c>
      <c r="E81" s="17">
        <v>4</v>
      </c>
      <c r="H81" s="8" t="s">
        <v>893</v>
      </c>
      <c r="I81" s="17">
        <v>864.40150273421318</v>
      </c>
    </row>
    <row r="82" spans="4:9" x14ac:dyDescent="0.3">
      <c r="D82" s="8" t="s">
        <v>894</v>
      </c>
      <c r="E82" s="17">
        <v>5</v>
      </c>
      <c r="H82" s="8" t="s">
        <v>894</v>
      </c>
      <c r="I82" s="17">
        <v>1341.8418743727193</v>
      </c>
    </row>
    <row r="83" spans="4:9" x14ac:dyDescent="0.3">
      <c r="D83" s="8" t="s">
        <v>895</v>
      </c>
      <c r="E83" s="17">
        <v>3</v>
      </c>
      <c r="H83" s="8" t="s">
        <v>895</v>
      </c>
      <c r="I83" s="17">
        <v>542.35227102668716</v>
      </c>
    </row>
    <row r="84" spans="4:9" x14ac:dyDescent="0.3">
      <c r="D84" s="8" t="s">
        <v>896</v>
      </c>
      <c r="E84" s="17">
        <v>3</v>
      </c>
      <c r="H84" s="8" t="s">
        <v>896</v>
      </c>
      <c r="I84" s="17">
        <v>493.63002497103543</v>
      </c>
    </row>
    <row r="85" spans="4:9" x14ac:dyDescent="0.3">
      <c r="D85" s="8" t="s">
        <v>897</v>
      </c>
      <c r="E85" s="17">
        <v>2</v>
      </c>
      <c r="H85" s="8" t="s">
        <v>897</v>
      </c>
      <c r="I85" s="17">
        <v>1107.7583865078568</v>
      </c>
    </row>
    <row r="86" spans="4:9" x14ac:dyDescent="0.3">
      <c r="D86" s="8" t="s">
        <v>898</v>
      </c>
      <c r="E86" s="17">
        <v>8</v>
      </c>
      <c r="H86" s="8" t="s">
        <v>898</v>
      </c>
      <c r="I86" s="17">
        <v>1383.3067467457795</v>
      </c>
    </row>
    <row r="87" spans="4:9" x14ac:dyDescent="0.3">
      <c r="D87" s="8" t="s">
        <v>899</v>
      </c>
      <c r="E87" s="17">
        <v>3</v>
      </c>
      <c r="H87" s="8" t="s">
        <v>899</v>
      </c>
      <c r="I87" s="17">
        <v>487.3814038218502</v>
      </c>
    </row>
    <row r="88" spans="4:9" x14ac:dyDescent="0.3">
      <c r="D88" s="8" t="s">
        <v>900</v>
      </c>
      <c r="E88" s="17">
        <v>3</v>
      </c>
      <c r="H88" s="8" t="s">
        <v>900</v>
      </c>
      <c r="I88" s="17">
        <v>921.38334818749308</v>
      </c>
    </row>
    <row r="89" spans="4:9" x14ac:dyDescent="0.3">
      <c r="D89" s="8" t="s">
        <v>901</v>
      </c>
      <c r="E89" s="17">
        <v>6</v>
      </c>
      <c r="H89" s="8" t="s">
        <v>901</v>
      </c>
      <c r="I89" s="17">
        <v>1562.6435678066302</v>
      </c>
    </row>
    <row r="90" spans="4:9" x14ac:dyDescent="0.3">
      <c r="D90" s="8" t="s">
        <v>902</v>
      </c>
      <c r="E90" s="17">
        <v>3</v>
      </c>
      <c r="H90" s="8" t="s">
        <v>902</v>
      </c>
      <c r="I90" s="17">
        <v>201.20690859545056</v>
      </c>
    </row>
    <row r="91" spans="4:9" x14ac:dyDescent="0.3">
      <c r="D91" s="8" t="s">
        <v>903</v>
      </c>
      <c r="E91" s="17">
        <v>6</v>
      </c>
      <c r="H91" s="8" t="s">
        <v>903</v>
      </c>
      <c r="I91" s="17">
        <v>1511.6514211202721</v>
      </c>
    </row>
    <row r="92" spans="4:9" x14ac:dyDescent="0.3">
      <c r="D92" s="8" t="s">
        <v>904</v>
      </c>
      <c r="E92" s="17">
        <v>5</v>
      </c>
      <c r="H92" s="8" t="s">
        <v>904</v>
      </c>
      <c r="I92" s="17">
        <v>1552.4008717702218</v>
      </c>
    </row>
    <row r="93" spans="4:9" x14ac:dyDescent="0.3">
      <c r="D93" s="8" t="s">
        <v>905</v>
      </c>
      <c r="E93" s="17">
        <v>5</v>
      </c>
      <c r="H93" s="8" t="s">
        <v>905</v>
      </c>
      <c r="I93" s="17">
        <v>759.97152571630545</v>
      </c>
    </row>
    <row r="94" spans="4:9" x14ac:dyDescent="0.3">
      <c r="D94" s="8" t="s">
        <v>906</v>
      </c>
      <c r="E94" s="17">
        <v>6</v>
      </c>
      <c r="H94" s="8" t="s">
        <v>906</v>
      </c>
      <c r="I94" s="17">
        <v>1799.8644136913069</v>
      </c>
    </row>
    <row r="95" spans="4:9" x14ac:dyDescent="0.3">
      <c r="D95" s="8" t="s">
        <v>907</v>
      </c>
      <c r="E95" s="17">
        <v>7</v>
      </c>
      <c r="H95" s="8" t="s">
        <v>907</v>
      </c>
      <c r="I95" s="17">
        <v>1750.1486233005423</v>
      </c>
    </row>
    <row r="96" spans="4:9" x14ac:dyDescent="0.3">
      <c r="D96" s="8" t="s">
        <v>908</v>
      </c>
      <c r="E96" s="17">
        <v>4</v>
      </c>
      <c r="H96" s="8" t="s">
        <v>908</v>
      </c>
      <c r="I96" s="17">
        <v>462.91340456913832</v>
      </c>
    </row>
    <row r="97" spans="4:9" x14ac:dyDescent="0.3">
      <c r="D97" s="8" t="s">
        <v>909</v>
      </c>
      <c r="E97" s="17">
        <v>8</v>
      </c>
      <c r="H97" s="8" t="s">
        <v>909</v>
      </c>
      <c r="I97" s="17">
        <v>2322.1049538631833</v>
      </c>
    </row>
    <row r="98" spans="4:9" x14ac:dyDescent="0.3">
      <c r="D98" s="8" t="s">
        <v>910</v>
      </c>
      <c r="E98" s="17">
        <v>7</v>
      </c>
      <c r="H98" s="8" t="s">
        <v>910</v>
      </c>
      <c r="I98" s="17">
        <v>2040.7311840557782</v>
      </c>
    </row>
    <row r="99" spans="4:9" x14ac:dyDescent="0.3">
      <c r="D99" s="8" t="s">
        <v>911</v>
      </c>
      <c r="E99" s="17">
        <v>6</v>
      </c>
      <c r="H99" s="8" t="s">
        <v>911</v>
      </c>
      <c r="I99" s="17">
        <v>2440.5276784169728</v>
      </c>
    </row>
    <row r="100" spans="4:9" x14ac:dyDescent="0.3">
      <c r="D100" s="8" t="s">
        <v>912</v>
      </c>
      <c r="E100" s="17">
        <v>6</v>
      </c>
      <c r="H100" s="8" t="s">
        <v>912</v>
      </c>
      <c r="I100" s="17">
        <v>783.84620276440148</v>
      </c>
    </row>
    <row r="101" spans="4:9" x14ac:dyDescent="0.3">
      <c r="D101" s="8" t="s">
        <v>913</v>
      </c>
      <c r="E101" s="17">
        <v>4</v>
      </c>
      <c r="H101" s="8" t="s">
        <v>913</v>
      </c>
      <c r="I101" s="17">
        <v>1257.1297079410622</v>
      </c>
    </row>
    <row r="102" spans="4:9" x14ac:dyDescent="0.3">
      <c r="D102" s="8" t="s">
        <v>914</v>
      </c>
      <c r="E102" s="17">
        <v>5</v>
      </c>
      <c r="H102" s="8" t="s">
        <v>914</v>
      </c>
      <c r="I102" s="17">
        <v>1270.9766632294888</v>
      </c>
    </row>
    <row r="103" spans="4:9" x14ac:dyDescent="0.3">
      <c r="D103" s="8" t="s">
        <v>915</v>
      </c>
      <c r="E103" s="17">
        <v>9</v>
      </c>
      <c r="H103" s="8" t="s">
        <v>915</v>
      </c>
      <c r="I103" s="17">
        <v>3265.7987918479243</v>
      </c>
    </row>
    <row r="104" spans="4:9" x14ac:dyDescent="0.3">
      <c r="D104" s="8" t="s">
        <v>916</v>
      </c>
      <c r="E104" s="17">
        <v>10</v>
      </c>
      <c r="H104" s="8" t="s">
        <v>916</v>
      </c>
      <c r="I104" s="17">
        <v>2833.6508209998801</v>
      </c>
    </row>
    <row r="105" spans="4:9" x14ac:dyDescent="0.3">
      <c r="D105" s="8" t="s">
        <v>917</v>
      </c>
      <c r="E105" s="17">
        <v>6</v>
      </c>
      <c r="H105" s="8" t="s">
        <v>917</v>
      </c>
      <c r="I105" s="17">
        <v>1147.2077936235114</v>
      </c>
    </row>
    <row r="106" spans="4:9" x14ac:dyDescent="0.3">
      <c r="D106" s="8" t="s">
        <v>918</v>
      </c>
      <c r="E106" s="17">
        <v>7</v>
      </c>
      <c r="H106" s="8" t="s">
        <v>918</v>
      </c>
      <c r="I106" s="17">
        <v>1831.3515850872427</v>
      </c>
    </row>
    <row r="107" spans="4:9" x14ac:dyDescent="0.3">
      <c r="D107" s="8" t="s">
        <v>919</v>
      </c>
      <c r="E107" s="17">
        <v>5</v>
      </c>
      <c r="H107" s="8" t="s">
        <v>919</v>
      </c>
      <c r="I107" s="17">
        <v>1854.6297536246789</v>
      </c>
    </row>
    <row r="108" spans="4:9" x14ac:dyDescent="0.3">
      <c r="D108" s="8" t="s">
        <v>920</v>
      </c>
      <c r="E108" s="17">
        <v>1</v>
      </c>
      <c r="H108" s="8" t="s">
        <v>920</v>
      </c>
      <c r="I108" s="17">
        <v>484.2301650749543</v>
      </c>
    </row>
    <row r="109" spans="4:9" x14ac:dyDescent="0.3">
      <c r="D109" s="5" t="s">
        <v>936</v>
      </c>
      <c r="E109" s="17"/>
      <c r="H109" s="5" t="s">
        <v>936</v>
      </c>
      <c r="I109" s="17"/>
    </row>
    <row r="110" spans="4:9" x14ac:dyDescent="0.3">
      <c r="D110" s="8" t="s">
        <v>921</v>
      </c>
      <c r="E110" s="17">
        <v>2</v>
      </c>
      <c r="H110" s="8" t="s">
        <v>921</v>
      </c>
      <c r="I110" s="17">
        <v>203.46382092739609</v>
      </c>
    </row>
    <row r="111" spans="4:9" x14ac:dyDescent="0.3">
      <c r="D111" s="8" t="s">
        <v>922</v>
      </c>
      <c r="E111" s="17">
        <v>4</v>
      </c>
      <c r="H111" s="8" t="s">
        <v>922</v>
      </c>
      <c r="I111" s="17">
        <v>1011.0314848780883</v>
      </c>
    </row>
    <row r="112" spans="4:9" x14ac:dyDescent="0.3">
      <c r="D112" s="8" t="s">
        <v>923</v>
      </c>
      <c r="E112" s="17">
        <v>6</v>
      </c>
      <c r="H112" s="8" t="s">
        <v>923</v>
      </c>
      <c r="I112" s="17">
        <v>1777.9036067748671</v>
      </c>
    </row>
    <row r="113" spans="4:9" x14ac:dyDescent="0.3">
      <c r="D113" s="8" t="s">
        <v>924</v>
      </c>
      <c r="E113" s="17">
        <v>9</v>
      </c>
      <c r="H113" s="8" t="s">
        <v>924</v>
      </c>
      <c r="I113" s="17">
        <v>3465.1519475822624</v>
      </c>
    </row>
    <row r="114" spans="4:9" x14ac:dyDescent="0.3">
      <c r="D114" s="8" t="s">
        <v>925</v>
      </c>
      <c r="E114" s="17">
        <v>6</v>
      </c>
      <c r="H114" s="8" t="s">
        <v>925</v>
      </c>
      <c r="I114" s="17">
        <v>1352.5902365308773</v>
      </c>
    </row>
    <row r="115" spans="4:9" x14ac:dyDescent="0.3">
      <c r="D115" s="8" t="s">
        <v>926</v>
      </c>
      <c r="E115" s="17">
        <v>5</v>
      </c>
      <c r="H115" s="8" t="s">
        <v>926</v>
      </c>
      <c r="I115" s="17">
        <v>979.3769419271905</v>
      </c>
    </row>
    <row r="116" spans="4:9" x14ac:dyDescent="0.3">
      <c r="D116" s="5" t="s">
        <v>842</v>
      </c>
      <c r="E116" s="17">
        <v>794</v>
      </c>
      <c r="H116" s="5" t="s">
        <v>842</v>
      </c>
      <c r="I116" s="17">
        <v>238135.72429748083</v>
      </c>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780B0-49C1-49A1-B68C-8DDC4E15FA98}">
  <dimension ref="A1:D19"/>
  <sheetViews>
    <sheetView showGridLines="0" topLeftCell="C1" zoomScale="130" zoomScaleNormal="130" workbookViewId="0">
      <selection activeCell="D5" sqref="D5"/>
    </sheetView>
  </sheetViews>
  <sheetFormatPr defaultRowHeight="14.4" x14ac:dyDescent="0.3"/>
  <cols>
    <col min="1" max="1" width="52.5546875" bestFit="1" customWidth="1"/>
    <col min="4" max="4" width="102.33203125" customWidth="1"/>
  </cols>
  <sheetData>
    <row r="1" spans="1:4" x14ac:dyDescent="0.3">
      <c r="A1" s="3" t="s">
        <v>820</v>
      </c>
      <c r="D1" s="3" t="s">
        <v>821</v>
      </c>
    </row>
    <row r="2" spans="1:4" x14ac:dyDescent="0.3">
      <c r="A2" t="s">
        <v>822</v>
      </c>
      <c r="D2" t="s">
        <v>823</v>
      </c>
    </row>
    <row r="3" spans="1:4" x14ac:dyDescent="0.3">
      <c r="A3" t="s">
        <v>824</v>
      </c>
      <c r="D3" t="s">
        <v>825</v>
      </c>
    </row>
    <row r="4" spans="1:4" x14ac:dyDescent="0.3">
      <c r="A4" t="s">
        <v>826</v>
      </c>
      <c r="D4" t="s">
        <v>827</v>
      </c>
    </row>
    <row r="5" spans="1:4" x14ac:dyDescent="0.3">
      <c r="A5" t="s">
        <v>828</v>
      </c>
      <c r="D5" t="s">
        <v>829</v>
      </c>
    </row>
    <row r="6" spans="1:4" x14ac:dyDescent="0.3">
      <c r="A6" t="s">
        <v>830</v>
      </c>
      <c r="D6" t="s">
        <v>831</v>
      </c>
    </row>
    <row r="7" spans="1:4" x14ac:dyDescent="0.3">
      <c r="A7" t="s">
        <v>832</v>
      </c>
      <c r="D7" t="s">
        <v>833</v>
      </c>
    </row>
    <row r="13" spans="1:4" x14ac:dyDescent="0.3">
      <c r="D13" s="3" t="s">
        <v>834</v>
      </c>
    </row>
    <row r="14" spans="1:4" x14ac:dyDescent="0.3">
      <c r="D14" t="s">
        <v>835</v>
      </c>
    </row>
    <row r="15" spans="1:4" x14ac:dyDescent="0.3">
      <c r="D15" t="s">
        <v>836</v>
      </c>
    </row>
    <row r="16" spans="1:4" x14ac:dyDescent="0.3">
      <c r="D16" t="s">
        <v>837</v>
      </c>
    </row>
    <row r="17" spans="4:4" x14ac:dyDescent="0.3">
      <c r="D17" t="s">
        <v>838</v>
      </c>
    </row>
    <row r="18" spans="4:4" x14ac:dyDescent="0.3">
      <c r="D18" t="s">
        <v>839</v>
      </c>
    </row>
    <row r="19" spans="4:4" x14ac:dyDescent="0.3">
      <c r="D19" t="s">
        <v>840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450569E6-BC47-4C4F-B992-BEA2E4F298B3}">
  <ds:schemaRefs/>
</ds:datastoreItem>
</file>

<file path=customXml/itemProps2.xml><?xml version="1.0" encoding="utf-8"?>
<ds:datastoreItem xmlns:ds="http://schemas.openxmlformats.org/officeDocument/2006/customXml" ds:itemID="{31D1DDF0-7855-49CA-9F1A-BB8C23485C39}">
  <ds:schemaRefs/>
</ds:datastoreItem>
</file>

<file path=customXml/itemProps3.xml><?xml version="1.0" encoding="utf-8"?>
<ds:datastoreItem xmlns:ds="http://schemas.openxmlformats.org/officeDocument/2006/customXml" ds:itemID="{CAB2A319-87FC-45F5-BFAF-B9F6B5364B1B}">
  <ds:schemaRefs/>
</ds:datastoreItem>
</file>

<file path=customXml/itemProps4.xml><?xml version="1.0" encoding="utf-8"?>
<ds:datastoreItem xmlns:ds="http://schemas.openxmlformats.org/officeDocument/2006/customXml" ds:itemID="{52A626E1-092D-49D2-B99B-07312562C7E0}">
  <ds:schemaRefs/>
</ds:datastoreItem>
</file>

<file path=customXml/itemProps5.xml><?xml version="1.0" encoding="utf-8"?>
<ds:datastoreItem xmlns:ds="http://schemas.openxmlformats.org/officeDocument/2006/customXml" ds:itemID="{F8827984-2C90-44C2-9BD2-A987B8F0BBD6}">
  <ds:schemaRefs/>
</ds:datastoreItem>
</file>

<file path=customXml/itemProps6.xml><?xml version="1.0" encoding="utf-8"?>
<ds:datastoreItem xmlns:ds="http://schemas.openxmlformats.org/officeDocument/2006/customXml" ds:itemID="{AC500CC4-053B-414E-B558-4E97050A717A}">
  <ds:schemaRefs/>
</ds:datastoreItem>
</file>

<file path=customXml/itemProps7.xml><?xml version="1.0" encoding="utf-8"?>
<ds:datastoreItem xmlns:ds="http://schemas.openxmlformats.org/officeDocument/2006/customXml" ds:itemID="{84A5B39F-C7EB-4114-B274-76981C642B3D}">
  <ds:schemaRefs/>
</ds:datastoreItem>
</file>

<file path=customXml/itemProps8.xml><?xml version="1.0" encoding="utf-8"?>
<ds:datastoreItem xmlns:ds="http://schemas.openxmlformats.org/officeDocument/2006/customXml" ds:itemID="{F08307B3-885A-429F-9C56-A25D8E2BA76A}">
  <ds:schemaRefs/>
</ds:datastoreItem>
</file>

<file path=customXml/itemProps9.xml><?xml version="1.0" encoding="utf-8"?>
<ds:datastoreItem xmlns:ds="http://schemas.openxmlformats.org/officeDocument/2006/customXml" ds:itemID="{555080A5-EE43-4CD2-BFBD-34DCE655B488}">
  <ds:schemaRefs/>
</ds:datastoreItem>
</file>

<file path=customXml/itemProps10.xml><?xml version="1.0" encoding="utf-8"?>
<ds:datastoreItem xmlns:ds="http://schemas.openxmlformats.org/officeDocument/2006/customXml" ds:itemID="{87956FB9-63A1-4D1F-B520-80CD05AC35AD}">
  <ds:schemaRefs/>
</ds:datastoreItem>
</file>

<file path=customXml/itemProps11.xml><?xml version="1.0" encoding="utf-8"?>
<ds:datastoreItem xmlns:ds="http://schemas.openxmlformats.org/officeDocument/2006/customXml" ds:itemID="{DE7F0513-7D29-45D1-8141-CE2134C50884}">
  <ds:schemaRefs/>
</ds:datastoreItem>
</file>

<file path=customXml/itemProps12.xml><?xml version="1.0" encoding="utf-8"?>
<ds:datastoreItem xmlns:ds="http://schemas.openxmlformats.org/officeDocument/2006/customXml" ds:itemID="{DC62AE86-731E-4AA4-B89A-EE55126DF6F5}">
  <ds:schemaRefs/>
</ds:datastoreItem>
</file>

<file path=customXml/itemProps13.xml><?xml version="1.0" encoding="utf-8"?>
<ds:datastoreItem xmlns:ds="http://schemas.openxmlformats.org/officeDocument/2006/customXml" ds:itemID="{17FF6E2B-8C85-48F6-B1DB-0CC3E17AEBB2}">
  <ds:schemaRefs/>
</ds:datastoreItem>
</file>

<file path=customXml/itemProps14.xml><?xml version="1.0" encoding="utf-8"?>
<ds:datastoreItem xmlns:ds="http://schemas.openxmlformats.org/officeDocument/2006/customXml" ds:itemID="{1A72773C-FAB6-4D90-A714-70EFD06CD583}">
  <ds:schemaRefs/>
</ds:datastoreItem>
</file>

<file path=customXml/itemProps15.xml><?xml version="1.0" encoding="utf-8"?>
<ds:datastoreItem xmlns:ds="http://schemas.openxmlformats.org/officeDocument/2006/customXml" ds:itemID="{3F1065C3-D329-4198-AEE0-F4726993FA3E}">
  <ds:schemaRefs/>
</ds:datastoreItem>
</file>

<file path=customXml/itemProps16.xml><?xml version="1.0" encoding="utf-8"?>
<ds:datastoreItem xmlns:ds="http://schemas.openxmlformats.org/officeDocument/2006/customXml" ds:itemID="{A1007EA6-ED92-4ECA-ACEB-9734361FB62B}">
  <ds:schemaRefs/>
</ds:datastoreItem>
</file>

<file path=customXml/itemProps17.xml><?xml version="1.0" encoding="utf-8"?>
<ds:datastoreItem xmlns:ds="http://schemas.openxmlformats.org/officeDocument/2006/customXml" ds:itemID="{AAB46EEA-D3B7-467E-9F63-9A6844E28FC2}">
  <ds:schemaRefs/>
</ds:datastoreItem>
</file>

<file path=customXml/itemProps18.xml><?xml version="1.0" encoding="utf-8"?>
<ds:datastoreItem xmlns:ds="http://schemas.openxmlformats.org/officeDocument/2006/customXml" ds:itemID="{9613485B-510A-4B45-823D-B5CFEB3726F3}">
  <ds:schemaRefs/>
</ds:datastoreItem>
</file>

<file path=customXml/itemProps19.xml><?xml version="1.0" encoding="utf-8"?>
<ds:datastoreItem xmlns:ds="http://schemas.openxmlformats.org/officeDocument/2006/customXml" ds:itemID="{CE71CAAA-9A6A-48E5-9BC4-2599E09394C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 dashboard</vt:lpstr>
      <vt:lpstr>Orders</vt:lpstr>
      <vt:lpstr>Pivot Orders</vt:lpstr>
      <vt:lpstr>Dashboard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user</cp:lastModifiedBy>
  <dcterms:created xsi:type="dcterms:W3CDTF">2022-06-24T09:46:13Z</dcterms:created>
  <dcterms:modified xsi:type="dcterms:W3CDTF">2026-09-19T03:56:45Z</dcterms:modified>
</cp:coreProperties>
</file>